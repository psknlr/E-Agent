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802f94905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a39729fc2674f2e"/>
    <x:sheet xmlns:r="http://schemas.openxmlformats.org/officeDocument/2006/relationships" name="结构清单" sheetId="2" r:id="R74f1eb25dc90486c"/>
    <x:sheet xmlns:r="http://schemas.openxmlformats.org/officeDocument/2006/relationships" name="活性标签" sheetId="3" r:id="R31d5ec8c425f4c70"/>
    <x:sheet xmlns:r="http://schemas.openxmlformats.org/officeDocument/2006/relationships" name="测定条件" sheetId="4" r:id="Rd36f6bcbc73d4bbd"/>
    <x:sheet xmlns:r="http://schemas.openxmlformats.org/officeDocument/2006/relationships" name="选择性" sheetId="5" r:id="R5cc03902970f4460"/>
    <x:sheet xmlns:r="http://schemas.openxmlformats.org/officeDocument/2006/relationships" name="配体验证" sheetId="6" r:id="R5f8d3ad0e9ec4310"/>
    <x:sheet xmlns:r="http://schemas.openxmlformats.org/officeDocument/2006/relationships" name="来源" sheetId="7" r:id="Rff65704080d04874"/>
    <x:sheet xmlns:r="http://schemas.openxmlformats.org/officeDocument/2006/relationships" name="辅助与扩展" sheetId="8" r:id="R77fc907bfef3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General"/>
    <x:numFmt numFmtId="202" formatCode="0.0000E+00"/>
    <x:numFmt numFmtId="203" formatCode="0.####"/>
    <x:numFmt numFmtId="204" formatCode="0.000"/>
  </x:numFmts>
  <x:fonts count="7">
    <x:font>
      <x:sz val="11"/>
      <x:name val="Carlito"/>
    </x:font>
    <x:font>
      <x:sz val="10"/>
      <x:color rgb="FF203548"/>
      <x:name val="Noto Sans CJK SC"/>
    </x:font>
    <x:font>
      <x:b/>
      <x:sz val="19"/>
      <x:color rgb="FFFFFFFF"/>
      <x:name val="Noto Sans CJK SC"/>
    </x:font>
    <x:font>
      <x:sz val="10"/>
      <x:color rgb="FF61758A"/>
      <x:name val="Noto Sans CJK SC"/>
    </x:font>
    <x:font>
      <x:b/>
      <x:sz val="10"/>
      <x:color rgb="FFFFFFFF"/>
      <x:name val="Noto Sans CJK SC"/>
    </x:font>
    <x:font>
      <x:b/>
      <x:sz val="10"/>
      <x:color rgb="FF0F766E"/>
      <x:name val="Noto Sans CJK SC"/>
    </x:font>
    <x:font>
      <x:sz val="10"/>
      <x:color rgb="FF1665AC"/>
      <x:name val="Noto Sans CJK SC"/>
    </x:font>
  </x:fonts>
  <x:fills count="9">
    <x:fill>
      <x:patternFill patternType="none"/>
    </x:fill>
    <x:fill>
      <x:patternFill patternType="gray125"/>
    </x:fill>
    <x:fill>
      <x:patternFill patternType="solid">
        <x:fgColor rgb="FF15384C"/>
      </x:patternFill>
    </x:fill>
    <x:fill>
      <x:patternFill patternType="solid">
        <x:fgColor rgb="FF0F766E"/>
      </x:patternFill>
    </x:fill>
    <x:fill>
      <x:patternFill patternType="solid">
        <x:fgColor rgb="FFFFF0CE"/>
      </x:patternFill>
    </x:fill>
    <x:fill>
      <x:patternFill patternType="solid">
        <x:fgColor rgb="FFE3F2E7"/>
      </x:patternFill>
    </x:fill>
    <x:fill>
      <x:patternFill patternType="solid">
        <x:fgColor rgb="FFE9F3F4"/>
      </x:patternFill>
    </x:fill>
    <x:fill>
      <x:patternFill patternType="solid">
        <x:fgColor rgb="FF234B6E"/>
      </x:patternFill>
    </x:fill>
    <x:fill>
      <x:patternFill patternType="solid">
        <x:fgColor rgb="FFF1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1" fontId="6" fillId="8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0CE"/>
        </x:patternFill>
      </x:fill>
    </x:dxf>
    <x:dxf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ebe86163c4c5c" /><Relationship Type="http://schemas.openxmlformats.org/officeDocument/2006/relationships/theme" Target="/xl/theme/theme1.xml" Id="Rfeb50c08a16e4498" /><Relationship Type="http://schemas.microsoft.com/office/2022/11/relationships/FeaturePropertyBag" Target="/xl/featurePropertyBag/featurePropertyBag.xml" Id="R0081f951a5c54909" /><Relationship Type="http://schemas.openxmlformats.org/officeDocument/2006/relationships/sharedStrings" Target="/xl/sharedStrings.xml" Id="R75b0b75976b34a07" /><Relationship Type="http://schemas.openxmlformats.org/officeDocument/2006/relationships/worksheet" Target="/xl/worksheets/sheet1.xml" Id="Rfa39729fc2674f2e" /><Relationship Type="http://schemas.openxmlformats.org/officeDocument/2006/relationships/worksheet" Target="/xl/worksheets/sheet2.xml" Id="R74f1eb25dc90486c" /><Relationship Type="http://schemas.openxmlformats.org/officeDocument/2006/relationships/worksheet" Target="/xl/worksheets/sheet3.xml" Id="R31d5ec8c425f4c70" /><Relationship Type="http://schemas.openxmlformats.org/officeDocument/2006/relationships/worksheet" Target="/xl/worksheets/sheet4.xml" Id="Rd36f6bcbc73d4bbd" /><Relationship Type="http://schemas.openxmlformats.org/officeDocument/2006/relationships/worksheet" Target="/xl/worksheets/sheet5.xml" Id="R5cc03902970f4460" /><Relationship Type="http://schemas.openxmlformats.org/officeDocument/2006/relationships/worksheet" Target="/xl/worksheets/sheet6.xml" Id="R5f8d3ad0e9ec4310" /><Relationship Type="http://schemas.openxmlformats.org/officeDocument/2006/relationships/worksheet" Target="/xl/worksheets/sheet7.xml" Id="Rff65704080d04874" /><Relationship Type="http://schemas.openxmlformats.org/officeDocument/2006/relationships/worksheet" Target="/xl/worksheets/sheet8.xml" Id="R77fc907bfef34c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_1" displayName="T__1" ref="A4:B29" headerRowCount="1" totalsRowCount="0" totalsRowShown="0">
  <x:autoFilter ref="A4:B29"/>
  <x:tableColumns count="2">
    <x:tableColumn id="1" name="topic"/>
    <x:tableColumn id="2" name="guidanc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__2" displayName="T__2" ref="A4:R23" headerRowCount="1" totalsRowCount="0" totalsRowShown="0">
  <x:autoFilter ref="A4:R23"/>
  <x:tableColumns count="18">
    <x:tableColumn id="1" name="pdb_id"/>
    <x:tableColumn id="2" name="enzyme"/>
    <x:tableColumn id="3" name="variant"/>
    <x:tableColumn id="4" name="geometry_use"/>
    <x:tableColumn id="5" name="resolution_A"/>
    <x:tableColumn id="6" name="bound_reaction_ligand"/>
    <x:tableColumn id="7" name="experimental_state"/>
    <x:tableColumn id="8" name="scoring_auth_chain"/>
    <x:tableColumn id="9" name="selected_altloc"/>
    <x:tableColumn id="10" name="reaction_ligand_ccd"/>
    <x:tableColumn id="11" name="cofactor_state"/>
    <x:tableColumn id="12" name="selected_ligand_cofactor_RSCC_summary"/>
    <x:tableColumn id="13" name="assembly_oligomeric_count"/>
    <x:tableColumn id="14" name="linked_label_ids"/>
    <x:tableColumn id="15" name="selection_notes"/>
    <x:tableColumn id="16" name="pdb_url"/>
    <x:tableColumn id="17" name="validation_url"/>
    <x:tableColumn id="18" name="pdb_sequence_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__3" displayName="T__3" ref="A4:AE32" headerRowCount="1" totalsRowCount="0" totalsRowShown="0">
  <x:autoFilter ref="A4:AE32"/>
  <x:tableColumns count="31">
    <x:tableColumn id="1" name="label_id"/>
    <x:tableColumn id="2" name="enzyme"/>
    <x:tableColumn id="3" name="variant"/>
    <x:tableColumn id="4" name="substrate"/>
    <x:tableColumn id="5" name="record_status"/>
    <x:tableColumn id="6" name="kcat_original"/>
    <x:tableColumn id="7" name="kcat_unit"/>
    <x:tableColumn id="8" name="kcat_uncertainty_original"/>
    <x:tableColumn id="9" name="Km_original"/>
    <x:tableColumn id="10" name="Km_unit"/>
    <x:tableColumn id="11" name="Km_comparator"/>
    <x:tableColumn id="12" name="Km_uncertainty_original"/>
    <x:tableColumn id="13" name="efficiency_original"/>
    <x:tableColumn id="14" name="efficiency_unit"/>
    <x:tableColumn id="15" name="efficiency_uncertainty_original"/>
    <x:tableColumn id="16" name="kcat_s_1"/>
    <x:tableColumn id="17" name="Km_value_or_bound_M"/>
    <x:tableColumn id="18" name="efficiency_reported_M_1_s_1"/>
    <x:tableColumn id="19" name="efficiency_ratio_derived_M_1_s_1"/>
    <x:tableColumn id="20" name="pH"/>
    <x:tableColumn id="21" name="temperature_C_nominal"/>
    <x:tableColumn id="22" name="assay_cofactor"/>
    <x:tableColumn id="23" name="label_qualification"/>
    <x:tableColumn id="24" name="default_use"/>
    <x:tableColumn id="25" name="experimental_complex_pdb_ids"/>
    <x:tableColumn id="26" name="experimental_protein_pdb_ids"/>
    <x:tableColumn id="27" name="template_pdb_ids"/>
    <x:tableColumn id="28" name="source_id"/>
    <x:tableColumn id="29" name="source_url"/>
    <x:tableColumn id="30" name="source_location"/>
    <x:tableColumn id="31" name="quality_flag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__4" displayName="T__4" ref="A4:H32" headerRowCount="1" totalsRowCount="0" totalsRowShown="0">
  <x:autoFilter ref="A4:H32"/>
  <x:tableColumns count="8">
    <x:tableColumn id="1" name="label_id"/>
    <x:tableColumn id="2" name="pH"/>
    <x:tableColumn id="3" name="temperature_C_nominal"/>
    <x:tableColumn id="4" name="cofactor"/>
    <x:tableColumn id="5" name="buffer"/>
    <x:tableColumn id="6" name="readout"/>
    <x:tableColumn id="7" name="protocol_summary"/>
    <x:tableColumn id="8" name="source_url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__5" displayName="T__5" ref="A4:J14" headerRowCount="1" totalsRowCount="0" totalsRowShown="0">
  <x:autoFilter ref="A4:J14"/>
  <x:tableColumns count="10">
    <x:tableColumn id="1" name="selectivity_id"/>
    <x:tableColumn id="2" name="enzyme"/>
    <x:tableColumn id="3" name="variant"/>
    <x:tableColumn id="4" name="substrate"/>
    <x:tableColumn id="5" name="er_S_over_R"/>
    <x:tableColumn id="6" name="kinetic_label_id"/>
    <x:tableColumn id="7" name="kinetic_variant_identity_match"/>
    <x:tableColumn id="8" name="conditions_status"/>
    <x:tableColumn id="9" name="note"/>
    <x:tableColumn id="10" name="source_url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__6" displayName="T__6" ref="A4:M122" headerRowCount="1" totalsRowCount="0" totalsRowShown="0">
  <x:autoFilter ref="A4:M122"/>
  <x:tableColumns count="13">
    <x:tableColumn id="1" name="pdb_id"/>
    <x:tableColumn id="2" name="auth_chain"/>
    <x:tableColumn id="3" name="auth_residue_number"/>
    <x:tableColumn id="4" name="ccd"/>
    <x:tableColumn id="5" name="altloc"/>
    <x:tableColumn id="6" name="RSCC"/>
    <x:tableColumn id="7" name="RSR"/>
    <x:tableColumn id="8" name="average_occupancy"/>
    <x:tableColumn id="9" name="average_B_A2"/>
    <x:tableColumn id="10" name="raw_clash_child_count"/>
    <x:tableColumn id="11" name="geometry_child_count"/>
    <x:tableColumn id="12" name="warning"/>
    <x:tableColumn id="13" name="source_url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__7" displayName="T__7" ref="A4:G22" headerRowCount="1" totalsRowCount="0" totalsRowShown="0">
  <x:autoFilter ref="A4:G22"/>
  <x:tableColumns count="7">
    <x:tableColumn id="1" name="source_id"/>
    <x:tableColumn id="2" name="title"/>
    <x:tableColumn id="3" name="doi"/>
    <x:tableColumn id="4" name="location"/>
    <x:tableColumn id="5" name="verification"/>
    <x:tableColumn id="6" name="access_reuse"/>
    <x:tableColumn id="7" name="url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__8" displayName="T__8" ref="A4:F15" headerRowCount="1" totalsRowCount="0" totalsRowShown="0">
  <x:autoFilter ref="A4:F15"/>
  <x:tableColumns count="6">
    <x:tableColumn id="1" name="item"/>
    <x:tableColumn id="2" name="value"/>
    <x:tableColumn id="3" name="unit"/>
    <x:tableColumn id="4" name="label_type"/>
    <x:tableColumn id="5" name="use"/>
    <x:tableColumn id="6" name="sourc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b75b88d9bc4d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55b774637d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31676d066f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11a716e0284e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b49a2905884c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e5c6171bb440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4c6968503214a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014e093eb014a95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32" hidden="0" customWidth="1"/>
  </x:cols>
  <x:sheetData>
    <x:row r="1" ht="38" customHeight="1">
      <x:c r="A1" s="5" t="str">
        <x:v>KRED 标定参考集  |  v0.1</x:v>
      </x:c>
      <x:c r="B1" s="5"/>
    </x:row>
    <x:row r="2" ht="34" customHeight="1">
      <x:c r="A2" s="6" t="str">
        <x:v>审计日期 2026-10-07 · 19个PDB · 28条动力学（26数值 + 2 ND） · 10条选择性 · 1条图读辅助</x:v>
      </x:c>
      <x:c r="B2" s="6"/>
    </x:row>
    <x:row r="3">
      <x:c r="A3" s="3"/>
      <x:c r="B3" s="3"/>
    </x:row>
    <x:row r="4" ht="40" customHeight="1">
      <x:c r="A4" s="8" t="str">
        <x:v>topic</x:v>
      </x:c>
      <x:c r="B4" s="8" t="str">
        <x:v>guidance</x:v>
      </x:c>
    </x:row>
    <x:row r="5" ht="60" customHeight="1">
      <x:c r="A5" s="9" t="str">
        <x:v>范围</x:v>
      </x:c>
      <x:c r="B5" s="3" t="str">
        <x:v>这是经过来源审计的标定起始参考集 v0.1；包含工业KRED与明确标记的专一底物SDR扩展。不是已验证可泛化的金标准基准。</x:v>
      </x:c>
    </x:row>
    <x:row r="6" ht="60" customHeight="1">
      <x:c r="A6" s="9" t="str">
        <x:v>计数</x:v>
      </x:c>
      <x:c r="B6" s="3" t="str">
        <x:v>19个PDB审计条目；28条动力学记录，其中26条有数值、2条ND；10条独立保存的er选择性记录；1条图读比活辅助。记录数不是独立酶或独立实验数。</x:v>
      </x:c>
    </x:row>
    <x:row r="7" ht="60" customHeight="1">
      <x:c r="A7" s="9" t="str">
        <x:v>优先结构</x:v>
      </x:c>
      <x:c r="B7" s="3" t="str">
        <x:v>1IPF A用于有条件底物定位，2AE2 A用于有条件产物定位；6ZZO B302 altA为有条件候选。三者都需要保留几何/反应态限制。</x:v>
      </x:c>
    </x:row>
    <x:row r="8" ht="60" customHeight="1">
      <x:c r="A8" s="10" t="str">
        <x:v>严格几何金标</x:v>
      </x:c>
      <x:c r="B8" s="11" t="str">
        <x:v>本次审计中没有判定为无需复审的严格精细反应几何gold条目；strict_geometry_gold全部为false。</x:v>
      </x:c>
    </x:row>
    <x:row r="9" ht="60" customHeight="1">
      <x:c r="A9" s="9" t="str">
        <x:v>6ZZO</x:v>
      </x:c>
      <x:c r="B9" s="3" t="str">
        <x:v>B302 altA/altB各占有率0.5，RSCC是共同统计；altB与Ser148有2.36Å重原子clash。altA未列clash不等于被独立密度证实。</x:v>
      </x:c>
    </x:row>
    <x:row r="10" ht="60" customHeight="1">
      <x:c r="A10" s="9" t="str">
        <x:v>6ZZP</x:v>
      </x:c>
      <x:c r="B10" s="3" t="str">
        <x:v>底物密度较好但Ser148与QT8存在2.11/2.47Å接触；归入review_clash，不直接拟合精细进攻角或距离阈值。</x:v>
      </x:c>
    </x:row>
    <x:row r="11" ht="60" customHeight="1">
      <x:c r="A11" s="9" t="str">
        <x:v>LbADH</x:v>
      </x:c>
      <x:c r="B11" s="3" t="str">
        <x:v>1ZK4等五条低配体密度条目保留为审计排除集。1ZK4蛋白1Å分辨率不能覆盖AC0 RSCC0.15/NAP0.22。</x:v>
      </x:c>
    </x:row>
    <x:row r="12" ht="60" customHeight="1">
      <x:c r="A12" s="9" t="str">
        <x:v>反应态</x:v>
      </x:c>
      <x:c r="B12" s="3" t="str">
        <x:v>实验NAD+或NADP+、产物态、抑制剂态分别记录。将氧化态辅因子改成还原态后的模型必须另存衍生版本。</x:v>
      </x:c>
    </x:row>
    <x:row r="13" ht="60" customHeight="1">
      <x:c r="A13" s="9" t="str">
        <x:v>生物装配</x:v>
      </x:c>
      <x:c r="B13" s="3" t="str">
        <x:v>优先使用提供的官方assembly1并核对其元数据。评分链是位点定位，不代表可删除其他亚基；6XEW口袋含其他亚基Gln247。</x:v>
      </x:c>
    </x:row>
    <x:row r="14" ht="60" customHeight="1">
      <x:c r="A14" s="9" t="str">
        <x:v>配体混合</x:v>
      </x:c>
      <x:c r="B14" s="3" t="str">
        <x:v>6XEW HBR/HBS各0.5、互斥；分别准备时共享同一racemate活性记录，不能当作两条独立实测速率。NAD选择A301。</x:v>
      </x:c>
    </x:row>
    <x:row r="15" ht="60" customHeight="1">
      <x:c r="A15" s="9" t="str">
        <x:v>二元模板</x:v>
      </x:c>
      <x:c r="B15" s="3" t="str">
        <x:v>4RF2/3/4/5与1Y1P仅作为实验蛋白骨架/辅因子模板；没有目标酮底物实验坐标。Y190F和Ssal M1–M6不获得虚构的突变体晶体证据。</x:v>
      </x:c>
    </x:row>
    <x:row r="16" ht="60" customHeight="1">
      <x:c r="A16" s="9" t="str">
        <x:v>1Y1P辅因子</x:v>
      </x:c>
      <x:c r="B16" s="3" t="str">
        <x:v>AMP/NMN/PO4是_struct_conn连接的辅因子片段。保留共价关系、核对氧化还原态，不能因没有单一NDP残基就说辅因子缺失。</x:v>
      </x:c>
    </x:row>
    <x:row r="17" ht="60" customHeight="1">
      <x:c r="A17" s="9" t="str">
        <x:v>序列</x:v>
      </x:c>
      <x:c r="B17" s="3" t="str">
        <x:v>保留PDB原始序列、论文报告序列及明确标为derived的序列。Lk标签前缀长20aa；Ssal论文343aa与1Y1P342aa相差首Met。标签与编号不可静默移位。</x:v>
      </x:c>
    </x:row>
    <x:row r="18" ht="60" customHeight="1">
      <x:c r="A18" s="9" t="str">
        <x:v>标签</x:v>
      </x:c>
      <x:c r="B18" s="3" t="str">
        <x:v>kcat、Km、kcat/Km、ee/er、固定时间转化和比活是不同量；禁止互相替代或直接拼成一个连续活性值。</x:v>
      </x:c>
    </x:row>
    <x:row r="19" ht="60" customHeight="1">
      <x:c r="A19" s="9" t="str">
        <x:v>缺失</x:v>
      </x:c>
      <x:c r="B19" s="3" t="str">
        <x:v>null/空白表示缺失；PNAS的ND是not determined，不是0。PaH150N的Km&lt;5400mM保留为异常界限，禁止用于点值回归。</x:v>
      </x:c>
    </x:row>
    <x:row r="20" ht="60" customHeight="1">
      <x:c r="A20" s="9" t="str">
        <x:v>单位</x:v>
      </x:c>
      <x:c r="B20" s="3" t="str">
        <x:v>原始单位与SI换算分列。min^-1除60；mM除1000；uM除1000000；mM^-1min^-1乘1000/60。已发表效率与中心值相除的效率保留为两个字段。</x:v>
      </x:c>
    </x:row>
    <x:row r="21" ht="60" customHeight="1">
      <x:c r="A21" s="9" t="str">
        <x:v>误差</x:v>
      </x:c>
      <x:c r="B21" s="3" t="str">
        <x:v>保留论文的±定义。HBDH为fitting error；其余未明确者不重命名为SD或SEM。不能凭±直接做逆方差加权。</x:v>
      </x:c>
    </x:row>
    <x:row r="22" ht="60" customHeight="1">
      <x:c r="A22" s="9" t="str">
        <x:v>Ssal动力学</x:v>
      </x:c>
      <x:c r="B22" s="3" t="str">
        <x:v>2024为iPrOH再生体系中的表观动力学，25°C/pH7。M4未达底物饱和，默认只作敏感性分析；M6采用表2±0.8，SI拟合数据支持。</x:v>
      </x:c>
    </x:row>
    <x:row r="23" ht="60" customHeight="1">
      <x:c r="A23" s="9" t="str">
        <x:v>选择性关联</x:v>
      </x:c>
      <x:c r="B23" s="3" t="str">
        <x:v>PNAS er1.3属于缺少P194N的九突变变体；与十突变Sph的效率记录不自动合并。</x:v>
      </x:c>
    </x:row>
    <x:row r="24" ht="60" customHeight="1">
      <x:c r="A24" s="9" t="str">
        <x:v>防泄漏</x:v>
      </x:c>
      <x:c r="B24" s="3" t="str">
        <x:v>按母本/近缘序列与反应分组。相同酶的链、altloc、不同PDB和近邻突变不能随机拆到训练和标定两侧。</x:v>
      </x:c>
    </x:row>
    <x:row r="25" ht="60" customHeight="1">
      <x:c r="A25" s="9" t="str">
        <x:v>评价</x:v>
      </x:c>
      <x:c r="B25" s="3" t="str">
        <x:v>同条件内部做排序/误差；不同标签体系分开报告。小样本可用于流程验收与敏感性测试，不能据此宣称工业KRED泛化能力。</x:v>
      </x:c>
    </x:row>
    <x:row r="26" ht="60" customHeight="1">
      <x:c r="A26" s="9" t="str">
        <x:v>2026扩展</x:v>
      </x:c>
      <x:c r="B26" s="3" t="str">
        <x:v>原始109条唯一序列中69条可溶，包含WT；69条1a相对速率，276组2a–5a终点酶底物对。40条不溶记录不能作为无催化活性负例。</x:v>
      </x:c>
    </x:row>
    <x:row r="27" ht="60" customHeight="1">
      <x:c r="A27" s="9" t="str">
        <x:v>2026化学审计</x:v>
      </x:c>
      <x:c r="B27" s="3" t="str">
        <x:v>原始SMILES中1a目标位点为醇而图示为酮；5a为羧酸根而图示为乙酯。原值不改写，两个chemical ID暂时隔离。</x:v>
      </x:c>
    </x:row>
    <x:row r="28" ht="60" customHeight="1">
      <x:c r="A28" s="9" t="str">
        <x:v>后处理</x:v>
      </x:c>
      <x:c r="B28" s="3" t="str">
        <x:v>本包提供官方原始实验坐标和装配，不声称已完成加氢、质子化、力场准备或几何优化。任何准备结构另存并带来源与变换记录。</x:v>
      </x:c>
    </x:row>
    <x:row r="29" ht="60" customHeight="1">
      <x:c r="A29" s="9" t="str">
        <x:v>许可</x:v>
      </x:c>
      <x:c r="B29" s="3" t="str">
        <x:v>PDB为CC0；BRENDA当前为CC BY4.0；2026 Zenodo为CC BY4.0，GitHub保留MIT；其余按sources记录。不要将整包统称CC0。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5b75b88d9bc4da3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9" hidden="0" customWidth="1"/>
    <x:col min="5" max="5" width="13" hidden="0" customWidth="1"/>
    <x:col min="6" max="6" width="26" hidden="0" customWidth="1"/>
    <x:col min="7" max="7" width="30" hidden="0" customWidth="1"/>
    <x:col min="8" max="8" width="15" hidden="0" customWidth="1"/>
    <x:col min="9" max="9" width="14" hidden="0" customWidth="1"/>
    <x:col min="10" max="10" width="19" hidden="0" customWidth="1"/>
    <x:col min="11" max="11" width="27" hidden="0" customWidth="1"/>
    <x:col min="12" max="12" width="23" hidden="0" customWidth="1"/>
    <x:col min="13" max="13" width="18" hidden="0" customWidth="1"/>
    <x:col min="14" max="14" width="42" hidden="0" customWidth="1"/>
    <x:col min="15" max="15" width="90" hidden="0" customWidth="1"/>
    <x:col min="16" max="16" width="52" hidden="0" customWidth="1"/>
    <x:col min="17" max="17" width="65" hidden="0" customWidth="1"/>
    <x:col min="18" max="18" width="32" hidden="0" customWidth="1"/>
  </x:cols>
  <x:sheetData>
    <x:row r="1" ht="38" customHeight="1">
      <x:c r="A1" s="5" t="str">
        <x:v>实验结构清单与用途分级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4" customHeight="1">
      <x:c r="A2" s="6" t="str">
        <x:v>所有条目均保留官方原始坐标；用途分级由本次审计给出。评分链用于定位，不代表可裁去其余亚基。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40" customHeight="1">
      <x:c r="A4" s="8" t="str">
        <x:v>pdb_id</x:v>
      </x:c>
      <x:c r="B4" s="8" t="str">
        <x:v>enzyme</x:v>
      </x:c>
      <x:c r="C4" s="8" t="str">
        <x:v>variant</x:v>
      </x:c>
      <x:c r="D4" s="8" t="str">
        <x:v>geometry_use</x:v>
      </x:c>
      <x:c r="E4" s="8" t="str">
        <x:v>resolution_A</x:v>
      </x:c>
      <x:c r="F4" s="8" t="str">
        <x:v>bound_reaction_ligand</x:v>
      </x:c>
      <x:c r="G4" s="8" t="str">
        <x:v>experimental_state</x:v>
      </x:c>
      <x:c r="H4" s="8" t="str">
        <x:v>scoring_auth_chain</x:v>
      </x:c>
      <x:c r="I4" s="8" t="str">
        <x:v>selected_altloc</x:v>
      </x:c>
      <x:c r="J4" s="8" t="str">
        <x:v>reaction_ligand_ccd</x:v>
      </x:c>
      <x:c r="K4" s="8" t="str">
        <x:v>cofactor_state</x:v>
      </x:c>
      <x:c r="L4" s="8" t="str">
        <x:v>selected_ligand_cofactor_RSCC_summary</x:v>
      </x:c>
      <x:c r="M4" s="8" t="str">
        <x:v>assembly_oligomeric_count</x:v>
      </x:c>
      <x:c r="N4" s="8" t="str">
        <x:v>linked_label_ids</x:v>
      </x:c>
      <x:c r="O4" s="8" t="str">
        <x:v>selection_notes</x:v>
      </x:c>
      <x:c r="P4" s="8" t="str">
        <x:v>pdb_url</x:v>
      </x:c>
      <x:c r="Q4" s="8" t="str">
        <x:v>validation_url</x:v>
      </x:c>
      <x:c r="R4" s="8" t="str">
        <x:v>pdb_sequence_id</x:v>
      </x:c>
    </x:row>
    <x:row r="5" ht="66" customHeight="1">
      <x:c r="A5" s="3" t="str">
        <x:v>1IPF</x:v>
      </x:c>
      <x:c r="B5" s="3" t="str">
        <x:v>TR-II</x:v>
      </x:c>
      <x:c r="C5" s="3" t="str">
        <x:v>WT</x:v>
      </x:c>
      <x:c r="D5" s="13" t="str">
        <x:v>conditional_pose_reference</x:v>
      </x:c>
      <x:c r="E5" s="12" t="n">
        <x:v>2.5</x:v>
      </x:c>
      <x:c r="F5" s="3" t="str">
        <x:v>tropinone</x:v>
      </x:c>
      <x:c r="G5" s="3" t="str">
        <x:v>substrate + NADPH</x:v>
      </x:c>
      <x:c r="H5" s="3" t="str">
        <x:v>A</x:v>
      </x:c>
      <x:c r="I5" s="3" t="str"/>
      <x:c r="J5" s="3" t="str">
        <x:v>TNE</x:v>
      </x:c>
      <x:c r="K5" s="3" t="str">
        <x:v>NADPH</x:v>
      </x:c>
      <x:c r="L5" s="3" t="str">
        <x:v>0.922;0.965</x:v>
      </x:c>
      <x:c r="M5" s="3" t="n">
        <x:v>2</x:v>
      </x:c>
      <x:c r="N5" s="3" t="str">
        <x:v>DSTRII_TROP_NADPH_2003</x:v>
      </x:c>
      <x:c r="O5" s="3" t="str">
        <x:v>Internal ligand/cofactor geometry outliers; 2.50 A; chemical population not proven homogeneous.</x:v>
      </x:c>
      <x:c r="P5" s="3" t="str">
        <x:v>https://www.rcsb.org/structure/1IPF</x:v>
      </x:c>
      <x:c r="Q5" s="3" t="str">
        <x:v>https://files.rcsb.org/validation/view/1ipf_full_validation.pdf</x:v>
      </x:c>
      <x:c r="R5" s="3" t="str">
        <x:v>PDB_1IPF_entity1</x:v>
      </x:c>
    </x:row>
    <x:row r="6" ht="66" customHeight="1">
      <x:c r="A6" s="3" t="str">
        <x:v>2AE2</x:v>
      </x:c>
      <x:c r="B6" s="3" t="str">
        <x:v>TR-II</x:v>
      </x:c>
      <x:c r="C6" s="3" t="str">
        <x:v>WT</x:v>
      </x:c>
      <x:c r="D6" s="13" t="str">
        <x:v>conditional_product_reference</x:v>
      </x:c>
      <x:c r="E6" s="12" t="n">
        <x:v>1.9</x:v>
      </x:c>
      <x:c r="F6" s="3" t="str">
        <x:v>pseudotropine</x:v>
      </x:c>
      <x:c r="G6" s="3" t="str">
        <x:v>product + NADP+</x:v>
      </x:c>
      <x:c r="H6" s="3" t="str">
        <x:v>A</x:v>
      </x:c>
      <x:c r="I6" s="3" t="str"/>
      <x:c r="J6" s="3" t="str">
        <x:v>PTO</x:v>
      </x:c>
      <x:c r="K6" s="3" t="str">
        <x:v>NADP+</x:v>
      </x:c>
      <x:c r="L6" s="3" t="str">
        <x:v>0.920;0.985</x:v>
      </x:c>
      <x:c r="M6" s="3" t="n">
        <x:v>2</x:v>
      </x:c>
      <x:c r="N6" s="3" t="str">
        <x:v>DSTRII_TROP_NADPH_2003</x:v>
      </x:c>
      <x:c r="O6" s="3" t="str">
        <x:v>Product state; cross-paper kinetics transfer; local bond/angle outliers; extra initial Met in deposited sequence.</x:v>
      </x:c>
      <x:c r="P6" s="3" t="str">
        <x:v>https://www.rcsb.org/structure/2AE2</x:v>
      </x:c>
      <x:c r="Q6" s="3" t="str">
        <x:v>https://files.rcsb.org/validation/view/2ae2_full_validation.pdf</x:v>
      </x:c>
      <x:c r="R6" s="3" t="str">
        <x:v>PDB_2AE2_entity1</x:v>
      </x:c>
    </x:row>
    <x:row r="7" ht="66" customHeight="1">
      <x:c r="A7" s="3" t="str">
        <x:v>6ZZO</x:v>
      </x:c>
      <x:c r="B7" s="3" t="str">
        <x:v>PaHBDH</x:v>
      </x:c>
      <x:c r="C7" s="3" t="str">
        <x:v>WT</x:v>
      </x:c>
      <x:c r="D7" s="13" t="str">
        <x:v>conditional_pose_reference</x:v>
      </x:c>
      <x:c r="E7" s="12" t="n">
        <x:v>1.28</x:v>
      </x:c>
      <x:c r="F7" s="3" t="str">
        <x:v>acetoacetate</x:v>
      </x:c>
      <x:c r="G7" s="3" t="str">
        <x:v>substrate + NAD+</x:v>
      </x:c>
      <x:c r="H7" s="3" t="str">
        <x:v>B</x:v>
      </x:c>
      <x:c r="I7" s="3" t="str">
        <x:v>A</x:v>
      </x:c>
      <x:c r="J7" s="3" t="str">
        <x:v>AAE</x:v>
      </x:c>
      <x:c r="K7" s="3" t="str">
        <x:v>NAD+</x:v>
      </x:c>
      <x:c r="L7" s="3" t="str">
        <x:v>0.909;0.986</x:v>
      </x:c>
      <x:c r="M7" s="3" t="n">
        <x:v>4</x:v>
      </x:c>
      <x:c r="N7" s="3" t="str">
        <x:v>6ZZO_PaHBDH_AAE; PaHBDH_H150A_AAE_activity_only; PaHBDH_H150N_AAE_activity_only</x:v>
      </x:c>
      <x:c r="O7" s="3" t="str">
        <x:v>B302 alt A preferred conditionally; alt B Ser148 clash 2.36 A. Shared EDS fit, each occupancy 0.5. Not an NADH Michaelis complex.</x:v>
      </x:c>
      <x:c r="P7" s="3" t="str">
        <x:v>https://www.rcsb.org/structure/6ZZO</x:v>
      </x:c>
      <x:c r="Q7" s="3" t="str">
        <x:v>https://files.rcsb.org/validation/view/6zzo_full_validation.pdf</x:v>
      </x:c>
      <x:c r="R7" s="3" t="str">
        <x:v>PDB_6ZZO_entity1</x:v>
      </x:c>
    </x:row>
    <x:row r="8" ht="66" customHeight="1">
      <x:c r="A8" s="3" t="str">
        <x:v>6ZZP</x:v>
      </x:c>
      <x:c r="B8" s="3" t="str">
        <x:v>PaHBDH</x:v>
      </x:c>
      <x:c r="C8" s="3" t="str">
        <x:v>WT</x:v>
      </x:c>
      <x:c r="D8" s="11" t="str">
        <x:v>review_clash</x:v>
      </x:c>
      <x:c r="E8" s="12" t="n">
        <x:v>1.84</x:v>
      </x:c>
      <x:c r="F8" s="3" t="str">
        <x:v>3-oxovalerate</x:v>
      </x:c>
      <x:c r="G8" s="3" t="str">
        <x:v>substrate + NAD+</x:v>
      </x:c>
      <x:c r="H8" s="3" t="str">
        <x:v>A</x:v>
      </x:c>
      <x:c r="I8" s="3" t="str">
        <x:v>A/B</x:v>
      </x:c>
      <x:c r="J8" s="3" t="str">
        <x:v>QT8</x:v>
      </x:c>
      <x:c r="K8" s="3" t="str">
        <x:v>NAD+</x:v>
      </x:c>
      <x:c r="L8" s="3" t="str">
        <x:v>0.906;0.984</x:v>
      </x:c>
      <x:c r="M8" s="3" t="n">
        <x:v>4</x:v>
      </x:c>
      <x:c r="N8" s="3" t="str">
        <x:v>6ZZP_PaHBDH_QT8</x:v>
      </x:c>
      <x:c r="O8" s="3" t="str">
        <x:v>Ser148 OG--QT8 CAG 2.47 A (alt A), 2.11 A (alt B). Shared density fit; no clean raw-pose gold.</x:v>
      </x:c>
      <x:c r="P8" s="3" t="str">
        <x:v>https://www.rcsb.org/structure/6ZZP</x:v>
      </x:c>
      <x:c r="Q8" s="3" t="str">
        <x:v>https://files.rcsb.org/validation/view/6zzp_full_validation.pdf</x:v>
      </x:c>
      <x:c r="R8" s="3" t="str">
        <x:v>PDB_6ZZP_entity1</x:v>
      </x:c>
    </x:row>
    <x:row r="9" ht="66" customHeight="1">
      <x:c r="A9" s="3" t="str">
        <x:v>6ZZQ</x:v>
      </x:c>
      <x:c r="B9" s="3" t="str">
        <x:v>AbHBDH</x:v>
      </x:c>
      <x:c r="C9" s="3" t="str">
        <x:v>WT</x:v>
      </x:c>
      <x:c r="D9" s="11" t="str">
        <x:v>low_ligand_density</x:v>
      </x:c>
      <x:c r="E9" s="12" t="n">
        <x:v>1.93</x:v>
      </x:c>
      <x:c r="F9" s="3" t="str">
        <x:v>acetoacetate</x:v>
      </x:c>
      <x:c r="G9" s="3" t="str">
        <x:v>substrate + NAD+</x:v>
      </x:c>
      <x:c r="H9" s="3" t="str">
        <x:v>A</x:v>
      </x:c>
      <x:c r="I9" s="3" t="str"/>
      <x:c r="J9" s="3" t="str">
        <x:v>AAE</x:v>
      </x:c>
      <x:c r="K9" s="3" t="str">
        <x:v>NAD+</x:v>
      </x:c>
      <x:c r="L9" s="3" t="str">
        <x:v>0.775;0.923</x:v>
      </x:c>
      <x:c r="M9" s="3" t="n">
        <x:v>4</x:v>
      </x:c>
      <x:c r="N9" s="3" t="str">
        <x:v>6ZZQ_AbHBDH_AAE; AbHBDH_N145A_AAE_activity_only; AbHBDH_N145H_AAE_activity_only</x:v>
      </x:c>
      <x:c r="O9" s="3" t="str">
        <x:v>Moderate/low ligand density; A303 is an additional site, not a kinetic replicate.</x:v>
      </x:c>
      <x:c r="P9" s="3" t="str">
        <x:v>https://www.rcsb.org/structure/6ZZQ</x:v>
      </x:c>
      <x:c r="Q9" s="3" t="str">
        <x:v>https://files.rcsb.org/validation/view/6zzq_full_validation.pdf</x:v>
      </x:c>
      <x:c r="R9" s="3" t="str">
        <x:v>PDB_6ZZQ_entity1</x:v>
      </x:c>
    </x:row>
    <x:row r="10" ht="66" customHeight="1">
      <x:c r="A10" s="3" t="str">
        <x:v>6ZZS</x:v>
      </x:c>
      <x:c r="B10" s="3" t="str">
        <x:v>AbHBDH</x:v>
      </x:c>
      <x:c r="C10" s="3" t="str">
        <x:v>WT</x:v>
      </x:c>
      <x:c r="D10" s="11" t="str">
        <x:v>low_ligand_density</x:v>
      </x:c>
      <x:c r="E10" s="12" t="n">
        <x:v>1.85</x:v>
      </x:c>
      <x:c r="F10" s="3" t="str">
        <x:v>3-oxovalerate</x:v>
      </x:c>
      <x:c r="G10" s="3" t="str">
        <x:v>substrate + NAD+</x:v>
      </x:c>
      <x:c r="H10" s="3" t="str">
        <x:v>B</x:v>
      </x:c>
      <x:c r="I10" s="3" t="str"/>
      <x:c r="J10" s="3" t="str">
        <x:v>QT8</x:v>
      </x:c>
      <x:c r="K10" s="3" t="str">
        <x:v>NAD+</x:v>
      </x:c>
      <x:c r="L10" s="3" t="str">
        <x:v>0.806;0.860</x:v>
      </x:c>
      <x:c r="M10" s="3" t="n">
        <x:v>4</x:v>
      </x:c>
      <x:c r="N10" s="3" t="str">
        <x:v>6ZZS_AbHBDH_QT8</x:v>
      </x:c>
      <x:c r="O10" s="3" t="str">
        <x:v>Moderate/low ligand density and high B factor; use kinetic label separately.</x:v>
      </x:c>
      <x:c r="P10" s="3" t="str">
        <x:v>https://www.rcsb.org/structure/6ZZS</x:v>
      </x:c>
      <x:c r="Q10" s="3" t="str">
        <x:v>https://files.rcsb.org/validation/view/6zzs_full_validation.pdf</x:v>
      </x:c>
      <x:c r="R10" s="3" t="str">
        <x:v>PDB_6ZZS_entity1</x:v>
      </x:c>
    </x:row>
    <x:row r="11" ht="66" customHeight="1">
      <x:c r="A11" s="3" t="str">
        <x:v>6XEW</x:v>
      </x:c>
      <x:c r="B11" s="3" t="str">
        <x:v>SmBdh</x:v>
      </x:c>
      <x:c r="C11" s="3" t="str">
        <x:v>WT</x:v>
      </x:c>
      <x:c r="D11" s="11" t="str">
        <x:v>auxiliary_ensemble_reference</x:v>
      </x:c>
      <x:c r="E11" s="12" t="n">
        <x:v>2</x:v>
      </x:c>
      <x:c r="F11" s="3" t="str">
        <x:v>R/S-acetoin</x:v>
      </x:c>
      <x:c r="G11" s="3" t="str">
        <x:v>racemic substrate + NAD+</x:v>
      </x:c>
      <x:c r="H11" s="3" t="str">
        <x:v>A</x:v>
      </x:c>
      <x:c r="I11" s="3" t="str">
        <x:v>B/A</x:v>
      </x:c>
      <x:c r="J11" s="3" t="str">
        <x:v>HBS/HBR</x:v>
      </x:c>
      <x:c r="K11" s="3" t="str">
        <x:v>NAD+</x:v>
      </x:c>
      <x:c r="L11" s="3" t="str">
        <x:v>0.933/0.818;0.971</x:v>
      </x:c>
      <x:c r="M11" s="3" t="n">
        <x:v>4</x:v>
      </x:c>
      <x:c r="N11" s="3" t="str">
        <x:v>SMBDH_WT_ACETOIN_2020</x:v>
      </x:c>
      <x:c r="O11" s="3" t="str">
        <x:v>Mutually exclusive half-occupancy enantiomers; select NAD A301, not distant A302; preserve tetrameric Gln247 donor. Activity is approximate fixed-condition racemate specific activity.</x:v>
      </x:c>
      <x:c r="P11" s="3" t="str">
        <x:v>https://www.rcsb.org/structure/6XEW</x:v>
      </x:c>
      <x:c r="Q11" s="3" t="str">
        <x:v>https://files.rcsb.org/validation/view/6xew_full_validation.pdf</x:v>
      </x:c>
      <x:c r="R11" s="3" t="str">
        <x:v>PDB_6XEW_entity1</x:v>
      </x:c>
    </x:row>
    <x:row r="12" ht="66" customHeight="1">
      <x:c r="A12" s="3" t="str">
        <x:v>1ZK4</x:v>
      </x:c>
      <x:c r="B12" s="3" t="str">
        <x:v>LbADH</x:v>
      </x:c>
      <x:c r="C12" s="3" t="str">
        <x:v>WT</x:v>
      </x:c>
      <x:c r="D12" s="11" t="str">
        <x:v>low_ligand_density</x:v>
      </x:c>
      <x:c r="E12" s="12" t="n">
        <x:v>1</x:v>
      </x:c>
      <x:c r="F12" s="3" t="str">
        <x:v>acetophenone</x:v>
      </x:c>
      <x:c r="G12" s="3" t="str">
        <x:v>ketone+oxidizedNADP: nonproductive redox-mismatched capture relative to ketone reduction</x:v>
      </x:c>
      <x:c r="H12" s="3" t="str">
        <x:v>A</x:v>
      </x:c>
      <x:c r="I12" s="3" t="str"/>
      <x:c r="J12" s="3" t="str">
        <x:v>AC0</x:v>
      </x:c>
      <x:c r="K12" s="3" t="str">
        <x:v>NADP+</x:v>
      </x:c>
      <x:c r="L12" s="3" t="str">
        <x:v>0.154;0.222</x:v>
      </x:c>
      <x:c r="M12" s="3" t="n">
        <x:v>4</x:v>
      </x:c>
      <x:c r="N12" s="3" t="str">
        <x:v>LB_WT_AP_NADPH_2005</x:v>
      </x:c>
      <x:c r="O12" s="3" t="str">
        <x:v>Both reaction ligand and cofactor have poor current wwPDB real-space density fit; protein resolution alone is misleading. </x:v>
      </x:c>
      <x:c r="P12" s="3" t="str">
        <x:v>https://www.rcsb.org/structure/1ZK4</x:v>
      </x:c>
      <x:c r="Q12" s="3" t="str">
        <x:v>https://files.rcsb.org/validation/view/1zk4_full_validation.pdf</x:v>
      </x:c>
      <x:c r="R12" s="3" t="str">
        <x:v>PDB_1ZK4_entity1</x:v>
      </x:c>
    </x:row>
    <x:row r="13" ht="66" customHeight="1">
      <x:c r="A13" s="3" t="str">
        <x:v>1ZJY</x:v>
      </x:c>
      <x:c r="B13" s="3" t="str">
        <x:v>LbADH</x:v>
      </x:c>
      <x:c r="C13" s="3" t="str">
        <x:v>G37D</x:v>
      </x:c>
      <x:c r="D13" s="11" t="str">
        <x:v>low_ligand_density</x:v>
      </x:c>
      <x:c r="E13" s="12" t="n">
        <x:v>1.05</x:v>
      </x:c>
      <x:c r="F13" s="3" t="str">
        <x:v>(R)-1-phenylethanol</x:v>
      </x:c>
      <x:c r="G13" s="3" t="str">
        <x:v>alcohol+NADH: product-like ligand with reduced cofactor, redox-mismatched for canonical reduction product state</x:v>
      </x:c>
      <x:c r="H13" s="3" t="str">
        <x:v>A</x:v>
      </x:c>
      <x:c r="I13" s="3" t="str"/>
      <x:c r="J13" s="3" t="str">
        <x:v>SS2</x:v>
      </x:c>
      <x:c r="K13" s="3" t="str">
        <x:v>NADH</x:v>
      </x:c>
      <x:c r="L13" s="3" t="str">
        <x:v>0.779;0.589</x:v>
      </x:c>
      <x:c r="M13" s="3" t="n">
        <x:v>4</x:v>
      </x:c>
      <x:c r="N13" s="3" t="str">
        <x:v>LB_G37D_AP_NADH_2005</x:v>
      </x:c>
      <x:c r="O13" s="3" t="str">
        <x:v>Both reaction ligand and cofactor have poor current wwPDB real-space density fit; protein resolution alone is misleading. </x:v>
      </x:c>
      <x:c r="P13" s="3" t="str">
        <x:v>https://www.rcsb.org/structure/1ZJY</x:v>
      </x:c>
      <x:c r="Q13" s="3" t="str">
        <x:v>https://files.rcsb.org/validation/view/1zjy_full_validation.pdf</x:v>
      </x:c>
      <x:c r="R13" s="3" t="str">
        <x:v>PDB_1ZJY_entity1</x:v>
      </x:c>
    </x:row>
    <x:row r="14" ht="66" customHeight="1">
      <x:c r="A14" s="3" t="str">
        <x:v>1ZJZ</x:v>
      </x:c>
      <x:c r="B14" s="3" t="str">
        <x:v>LbADH</x:v>
      </x:c>
      <x:c r="C14" s="3" t="str">
        <x:v>G37D</x:v>
      </x:c>
      <x:c r="D14" s="11" t="str">
        <x:v>low_ligand_density</x:v>
      </x:c>
      <x:c r="E14" s="12" t="n">
        <x:v>1.1</x:v>
      </x:c>
      <x:c r="F14" s="3" t="str">
        <x:v>(R)-1-phenylethanol</x:v>
      </x:c>
      <x:c r="G14" s="3" t="str">
        <x:v>alcohol+NAD+: reduction product state / oxidation reactants</x:v>
      </x:c>
      <x:c r="H14" s="3" t="str">
        <x:v>A</x:v>
      </x:c>
      <x:c r="I14" s="3" t="str"/>
      <x:c r="J14" s="3" t="str">
        <x:v>SS2</x:v>
      </x:c>
      <x:c r="K14" s="3" t="str">
        <x:v>NAD+</x:v>
      </x:c>
      <x:c r="L14" s="3" t="str">
        <x:v>0.535;0.481</x:v>
      </x:c>
      <x:c r="M14" s="3" t="n">
        <x:v>4</x:v>
      </x:c>
      <x:c r="N14" s="3" t="str">
        <x:v>LB_G37D_AP_NADH_2005</x:v>
      </x:c>
      <x:c r="O14" s="3" t="str">
        <x:v>Both reaction ligand and cofactor have poor current wwPDB real-space density fit; protein resolution alone is misleading. </x:v>
      </x:c>
      <x:c r="P14" s="3" t="str">
        <x:v>https://www.rcsb.org/structure/1ZJZ</x:v>
      </x:c>
      <x:c r="Q14" s="3" t="str">
        <x:v>https://files.rcsb.org/validation/view/1zjz_full_validation.pdf</x:v>
      </x:c>
      <x:c r="R14" s="3" t="str">
        <x:v>PDB_1ZJZ_entity1</x:v>
      </x:c>
    </x:row>
    <x:row r="15" ht="66" customHeight="1">
      <x:c r="A15" s="3" t="str">
        <x:v>1ZK0</x:v>
      </x:c>
      <x:c r="B15" s="3" t="str">
        <x:v>LbADH</x:v>
      </x:c>
      <x:c r="C15" s="3" t="str">
        <x:v>G37D</x:v>
      </x:c>
      <x:c r="D15" s="11" t="str">
        <x:v>low_ligand_density</x:v>
      </x:c>
      <x:c r="E15" s="12" t="n">
        <x:v>1.55</x:v>
      </x:c>
      <x:c r="F15" s="3" t="str">
        <x:v>(R)-1-phenylethanol</x:v>
      </x:c>
      <x:c r="G15" s="3" t="str">
        <x:v>alcohol+NADH: product-like ligand with reduced cofactor, redox-mismatched for canonical reduction product state</x:v>
      </x:c>
      <x:c r="H15" s="3" t="str">
        <x:v>A</x:v>
      </x:c>
      <x:c r="I15" s="3" t="str"/>
      <x:c r="J15" s="3" t="str">
        <x:v>SS2</x:v>
      </x:c>
      <x:c r="K15" s="3" t="str">
        <x:v>NADH</x:v>
      </x:c>
      <x:c r="L15" s="3" t="str">
        <x:v>0.513;0.528</x:v>
      </x:c>
      <x:c r="M15" s="3" t="n">
        <x:v>4</x:v>
      </x:c>
      <x:c r="N15" s="3" t="str">
        <x:v>LB_G37D_AP_NADH_2005</x:v>
      </x:c>
      <x:c r="O15" s="3" t="str">
        <x:v>Both reaction ligand and cofactor have poor current wwPDB real-space density fit; protein resolution alone is misleading. </x:v>
      </x:c>
      <x:c r="P15" s="3" t="str">
        <x:v>https://www.rcsb.org/structure/1ZK0</x:v>
      </x:c>
      <x:c r="Q15" s="3" t="str">
        <x:v>https://files.rcsb.org/validation/view/1zk0_full_validation.pdf</x:v>
      </x:c>
      <x:c r="R15" s="3" t="str">
        <x:v>PDB_1ZK0_entity1</x:v>
      </x:c>
    </x:row>
    <x:row r="16" ht="66" customHeight="1">
      <x:c r="A16" s="3" t="str">
        <x:v>1ZK1</x:v>
      </x:c>
      <x:c r="B16" s="3" t="str">
        <x:v>LbADH</x:v>
      </x:c>
      <x:c r="C16" s="3" t="str">
        <x:v>G37D</x:v>
      </x:c>
      <x:c r="D16" s="11" t="str">
        <x:v>low_ligand_density</x:v>
      </x:c>
      <x:c r="E16" s="12" t="n">
        <x:v>1.78</x:v>
      </x:c>
      <x:c r="F16" s="3" t="str">
        <x:v>acetophenone</x:v>
      </x:c>
      <x:c r="G16" s="3" t="str">
        <x:v>ketone+oxidizedNAD: nonproductive redox-mismatched capture relative to ketone reduction</x:v>
      </x:c>
      <x:c r="H16" s="3" t="str">
        <x:v>A</x:v>
      </x:c>
      <x:c r="I16" s="3" t="str"/>
      <x:c r="J16" s="3" t="str">
        <x:v>AC0</x:v>
      </x:c>
      <x:c r="K16" s="3" t="str">
        <x:v>NAD+</x:v>
      </x:c>
      <x:c r="L16" s="3" t="str">
        <x:v>0.652;0.491</x:v>
      </x:c>
      <x:c r="M16" s="3" t="n">
        <x:v>4</x:v>
      </x:c>
      <x:c r="N16" s="3" t="str">
        <x:v>LB_G37D_AP_NADH_2005</x:v>
      </x:c>
      <x:c r="O16" s="3" t="str">
        <x:v>Both reaction ligand and cofactor have poor current wwPDB real-space density fit; protein resolution alone is misleading. RCSB entry TITLE says phenylethanol, but deposited CCD and validation show AC0 acetophenone; use actual ligand identity.</x:v>
      </x:c>
      <x:c r="P16" s="3" t="str">
        <x:v>https://www.rcsb.org/structure/1ZK1</x:v>
      </x:c>
      <x:c r="Q16" s="3" t="str">
        <x:v>https://files.rcsb.org/validation/view/1zk1_full_validation.pdf</x:v>
      </x:c>
      <x:c r="R16" s="3" t="str">
        <x:v>PDB_1ZK1_entity1</x:v>
      </x:c>
    </x:row>
    <x:row r="17" ht="66" customHeight="1">
      <x:c r="A17" s="3" t="str">
        <x:v>4RF2</x:v>
      </x:c>
      <x:c r="B17" s="3" t="str">
        <x:v>LkKRED</x:v>
      </x:c>
      <x:c r="C17" s="3" t="str">
        <x:v>WT</x:v>
      </x:c>
      <x:c r="D17" s="14" t="str">
        <x:v>protein_scaffold_only</x:v>
      </x:c>
      <x:c r="E17" s="12" t="n">
        <x:v>2.089</x:v>
      </x:c>
      <x:c r="F17" s="3" t="str"/>
      <x:c r="G17" s="3" t="str">
        <x:v>cofactor binary</x:v>
      </x:c>
      <x:c r="H17" s="3" t="str"/>
      <x:c r="I17" s="3" t="str"/>
      <x:c r="J17" s="3" t="str"/>
      <x:c r="K17" s="3" t="str">
        <x:v>NADP+</x:v>
      </x:c>
      <x:c r="L17" s="3" t="str"/>
      <x:c r="M17" s="3" t="n">
        <x:v>4</x:v>
      </x:c>
      <x:c r="N17" s="3" t="str">
        <x:v>PNAS2015_WT_1; PNAS2015_WT_2; PNAS2015_Y190F_1; PNAS2015_Y190F_2; PNAS2015_Sph_1; PNAS2015_Sph_2</x:v>
      </x:c>
      <x:c r="O17" s="3" t="str">
        <x:v>No assayed ketone observed. Has 20-residue N-terminal fusion before author enzyme numbering.</x:v>
      </x:c>
      <x:c r="P17" s="3" t="str">
        <x:v>https://www.rcsb.org/structure/4RF2</x:v>
      </x:c>
      <x:c r="Q17" s="3" t="str">
        <x:v>https://files.rcsb.org/validation/view/4rf2_full_validation.pdf</x:v>
      </x:c>
      <x:c r="R17" s="3" t="str">
        <x:v>PDB_4RF2_entity1</x:v>
      </x:c>
    </x:row>
    <x:row r="18" ht="66" customHeight="1">
      <x:c r="A18" s="3" t="str">
        <x:v>4RF4</x:v>
      </x:c>
      <x:c r="B18" s="3" t="str">
        <x:v>LkKRED</x:v>
      </x:c>
      <x:c r="C18" s="3" t="str">
        <x:v>WT</x:v>
      </x:c>
      <x:c r="D18" s="14" t="str">
        <x:v>protein_scaffold_only</x:v>
      </x:c>
      <x:c r="E18" s="12" t="n">
        <x:v>2.201</x:v>
      </x:c>
      <x:c r="F18" s="3" t="str"/>
      <x:c r="G18" s="3" t="str">
        <x:v>apo</x:v>
      </x:c>
      <x:c r="H18" s="3" t="str"/>
      <x:c r="I18" s="3" t="str"/>
      <x:c r="J18" s="3" t="str"/>
      <x:c r="K18" s="3" t="str"/>
      <x:c r="L18" s="3" t="str"/>
      <x:c r="M18" s="3" t="n">
        <x:v>4</x:v>
      </x:c>
      <x:c r="N18" s="3" t="str">
        <x:v>PNAS2015_WT_1; PNAS2015_WT_2</x:v>
      </x:c>
      <x:c r="O18" s="3" t="str">
        <x:v>No assayed ketone or cofactor in this apo reference.</x:v>
      </x:c>
      <x:c r="P18" s="3" t="str">
        <x:v>https://www.rcsb.org/structure/4RF4</x:v>
      </x:c>
      <x:c r="Q18" s="3" t="str">
        <x:v>https://files.rcsb.org/validation/view/4rf4_full_validation.pdf</x:v>
      </x:c>
      <x:c r="R18" s="3" t="str">
        <x:v>PDB_4RF4_entity1</x:v>
      </x:c>
    </x:row>
    <x:row r="19" ht="66" customHeight="1">
      <x:c r="A19" s="3" t="str">
        <x:v>4RF3</x:v>
      </x:c>
      <x:c r="B19" s="3" t="str">
        <x:v>LkKRED</x:v>
      </x:c>
      <x:c r="C19" s="3" t="str">
        <x:v>A94F</x:v>
      </x:c>
      <x:c r="D19" s="14" t="str">
        <x:v>protein_scaffold_only</x:v>
      </x:c>
      <x:c r="E19" s="12" t="n">
        <x:v>1.694</x:v>
      </x:c>
      <x:c r="F19" s="3" t="str"/>
      <x:c r="G19" s="3" t="str">
        <x:v>apo mutant</x:v>
      </x:c>
      <x:c r="H19" s="3" t="str"/>
      <x:c r="I19" s="3" t="str"/>
      <x:c r="J19" s="3" t="str"/>
      <x:c r="K19" s="3" t="str"/>
      <x:c r="L19" s="3" t="str"/>
      <x:c r="M19" s="3" t="n">
        <x:v>4</x:v>
      </x:c>
      <x:c r="N19" s="3" t="str">
        <x:v>PNAS2015_A94F_1; PNAS2015_A94F_2</x:v>
      </x:c>
      <x:c r="O19" s="3" t="str">
        <x:v>Experimental A94F protein core; ketone pose is modeled in study.</x:v>
      </x:c>
      <x:c r="P19" s="3" t="str">
        <x:v>https://www.rcsb.org/structure/4RF3</x:v>
      </x:c>
      <x:c r="Q19" s="3" t="str">
        <x:v>https://files.rcsb.org/validation/view/4rf3_full_validation.pdf</x:v>
      </x:c>
      <x:c r="R19" s="3" t="str">
        <x:v>PDB_4RF3_entity1</x:v>
      </x:c>
    </x:row>
    <x:row r="20" ht="66" customHeight="1">
      <x:c r="A20" s="3" t="str">
        <x:v>4RF5</x:v>
      </x:c>
      <x:c r="B20" s="3" t="str">
        <x:v>LkKRED</x:v>
      </x:c>
      <x:c r="C20" s="3" t="str">
        <x:v>E145S</x:v>
      </x:c>
      <x:c r="D20" s="14" t="str">
        <x:v>protein_scaffold_only</x:v>
      </x:c>
      <x:c r="E20" s="12" t="n">
        <x:v>1.596</x:v>
      </x:c>
      <x:c r="F20" s="3" t="str"/>
      <x:c r="G20" s="3" t="str">
        <x:v>apo mutant</x:v>
      </x:c>
      <x:c r="H20" s="3" t="str"/>
      <x:c r="I20" s="3" t="str"/>
      <x:c r="J20" s="3" t="str"/>
      <x:c r="K20" s="3" t="str"/>
      <x:c r="L20" s="3" t="str"/>
      <x:c r="M20" s="3" t="n">
        <x:v>4</x:v>
      </x:c>
      <x:c r="N20" s="3" t="str">
        <x:v>PNAS2015_E145S_1; PNAS2015_E145S_2</x:v>
      </x:c>
      <x:c r="O20" s="3" t="str">
        <x:v>Experimental E145S protein core; ketone pose is modeled in study.</x:v>
      </x:c>
      <x:c r="P20" s="3" t="str">
        <x:v>https://www.rcsb.org/structure/4RF5</x:v>
      </x:c>
      <x:c r="Q20" s="3" t="str">
        <x:v>https://files.rcsb.org/validation/view/4rf5_full_validation.pdf</x:v>
      </x:c>
      <x:c r="R20" s="3" t="str">
        <x:v>PDB_4RF5_entity1</x:v>
      </x:c>
    </x:row>
    <x:row r="21" ht="66" customHeight="1">
      <x:c r="A21" s="3" t="str">
        <x:v>1Y1P</x:v>
      </x:c>
      <x:c r="B21" s="3" t="str">
        <x:v>Ssal-KRED</x:v>
      </x:c>
      <x:c r="C21" s="3" t="str">
        <x:v>WT</x:v>
      </x:c>
      <x:c r="D21" s="14" t="str">
        <x:v>protein_scaffold_only</x:v>
      </x:c>
      <x:c r="E21" s="12" t="n">
        <x:v>1.6</x:v>
      </x:c>
      <x:c r="F21" s="3" t="str"/>
      <x:c r="G21" s="3" t="str">
        <x:v>cofactor binary</x:v>
      </x:c>
      <x:c r="H21" s="3" t="str"/>
      <x:c r="I21" s="3" t="str"/>
      <x:c r="J21" s="3" t="str"/>
      <x:c r="K21" s="3" t="str">
        <x:v>reported NADPH; fragment encoding</x:v>
      </x:c>
      <x:c r="L21" s="3" t="str"/>
      <x:c r="M21" s="3" t="n">
        <x:v>1</x:v>
      </x:c>
      <x:c r="N21" s="3" t="str">
        <x:v>Ssal2024_WT_1a; Ssal2024_M1_1a; Ssal2024_M2_1a; Ssal2024_M3_1a; Ssal2024_M4_1a; Ssal2024_M5_1a; Ssal2024_M6_1a</x:v>
      </x:c>
      <x:c r="O21" s="3" t="str">
        <x:v>Preserve _struct_conn covalent NMN--AMP--PO4 connectivity. No target ketone 1a experimental pose. Check cofactor redox graph during normalization.</x:v>
      </x:c>
      <x:c r="P21" s="3" t="str">
        <x:v>https://www.rcsb.org/structure/1Y1P</x:v>
      </x:c>
      <x:c r="Q21" s="3" t="str">
        <x:v>https://files.rcsb.org/validation/view/1y1p_full_validation.pdf</x:v>
      </x:c>
      <x:c r="R21" s="3" t="str">
        <x:v>PDB_1Y1P_entity1</x:v>
      </x:c>
    </x:row>
    <x:row r="22" ht="66" customHeight="1">
      <x:c r="A22" s="3" t="str">
        <x:v>7UUT</x:v>
      </x:c>
      <x:c r="B22" s="3" t="str">
        <x:v>TeSADH</x:v>
      </x:c>
      <x:c r="C22" s="3" t="str">
        <x:v>I86A</x:v>
      </x:c>
      <x:c r="D22" s="11" t="str">
        <x:v>unmatched_product_excluded</x:v>
      </x:c>
      <x:c r="E22" s="12" t="n">
        <x:v>1.89</x:v>
      </x:c>
      <x:c r="F22" s="3" t="str">
        <x:v>(R)-2-pentanol</x:v>
      </x:c>
      <x:c r="G22" s="3" t="str">
        <x:v>product; cofactor state uncertain</x:v>
      </x:c>
      <x:c r="H22" s="3" t="str">
        <x:v>A</x:v>
      </x:c>
      <x:c r="I22" s="3" t="str"/>
      <x:c r="J22" s="3" t="str">
        <x:v>2RP</x:v>
      </x:c>
      <x:c r="K22" s="3" t="str">
        <x:v>NADP(H) ambiguity</x:v>
      </x:c>
      <x:c r="L22" s="3" t="str">
        <x:v>0.906;0.697</x:v>
      </x:c>
      <x:c r="M22" s="3" t="n">
        <x:v>4</x:v>
      </x:c>
      <x:c r="N22" s="3" t="str"/>
      <x:c r="O22" s="3" t="str">
        <x:v>No exact matching ketone-reduction kinetic label verified in this audit; authors discuss chemical-state ambiguity.</x:v>
      </x:c>
      <x:c r="P22" s="3" t="str">
        <x:v>https://www.rcsb.org/structure/7UUT</x:v>
      </x:c>
      <x:c r="Q22" s="3" t="str">
        <x:v>https://files.rcsb.org/validation/view/7uut_full_validation.pdf</x:v>
      </x:c>
      <x:c r="R22" s="3" t="str">
        <x:v>PDB_7UUT_entity1</x:v>
      </x:c>
    </x:row>
    <x:row r="23" ht="66" customHeight="1">
      <x:c r="A23" s="3" t="str">
        <x:v>7UTC</x:v>
      </x:c>
      <x:c r="B23" s="3" t="str">
        <x:v>TeSADH</x:v>
      </x:c>
      <x:c r="C23" s="3" t="str">
        <x:v>C295A</x:v>
      </x:c>
      <x:c r="D23" s="11" t="str">
        <x:v>inhibitor_excluded</x:v>
      </x:c>
      <x:c r="E23" s="12" t="n">
        <x:v>1.85</x:v>
      </x:c>
      <x:c r="F23" s="3" t="str">
        <x:v>DMSO</x:v>
      </x:c>
      <x:c r="G23" s="3" t="str">
        <x:v>inhibitor/analogue + cofactor</x:v>
      </x:c>
      <x:c r="H23" s="3" t="str"/>
      <x:c r="I23" s="3" t="str"/>
      <x:c r="J23" s="3" t="str">
        <x:v>DMS</x:v>
      </x:c>
      <x:c r="K23" s="3" t="str">
        <x:v>NADP+</x:v>
      </x:c>
      <x:c r="L23" s="3" t="str"/>
      <x:c r="M23" s="3" t="n">
        <x:v>4</x:v>
      </x:c>
      <x:c r="N23" s="3" t="str"/>
      <x:c r="O23" s="3" t="str">
        <x:v>DMSO is not a matched ketone substrate. Do not assign inhibitor binding as ketone reduction activity.</x:v>
      </x:c>
      <x:c r="P23" s="3" t="str">
        <x:v>https://www.rcsb.org/structure/7UTC</x:v>
      </x:c>
      <x:c r="Q23" s="3" t="str">
        <x:v>https://files.rcsb.org/validation/view/7utc_full_validation.pdf</x:v>
      </x:c>
      <x:c r="R23" s="3" t="str">
        <x:v>PDB_7UTC_entity1</x:v>
      </x:c>
    </x:row>
  </x:sheetData>
  <x:mergeCells>
    <x:mergeCell ref="A1:D1"/>
    <x:mergeCell ref="A2:G2"/>
  </x:mergeCells>
  <x:pageMargins left="0.7" right="0.7" top="0.75" bottom="0.75" header="0.3" footer="0.3"/>
  <x:tableParts count="1">
    <x:tablePart xmlns:r="http://schemas.openxmlformats.org/officeDocument/2006/relationships" r:id="Ref55b774637d46d7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6" hidden="0" customWidth="1"/>
    <x:col min="2" max="2" width="19" hidden="0" customWidth="1"/>
    <x:col min="3" max="3" width="16" hidden="0" customWidth="1"/>
    <x:col min="4" max="4" width="31" hidden="0" customWidth="1"/>
    <x:col min="5" max="5" width="24" hidden="0" customWidth="1"/>
    <x:col min="6" max="6" width="16" hidden="0" customWidth="1"/>
    <x:col min="7" max="7" width="13" hidden="0" customWidth="1"/>
    <x:col min="8" max="8" width="19" hidden="0" customWidth="1"/>
    <x:col min="9" max="9" width="16" hidden="0" customWidth="1"/>
    <x:col min="10" max="10" width="12" hidden="0" customWidth="1"/>
    <x:col min="11" max="11" width="14" hidden="0" customWidth="1"/>
    <x:col min="12" max="12" width="20" hidden="0" customWidth="1"/>
    <x:col min="13" max="13" width="19" hidden="0" customWidth="1"/>
    <x:col min="14" max="14" width="22" hidden="0" customWidth="1"/>
    <x:col min="15" max="15" width="22" hidden="0" customWidth="1"/>
    <x:col min="16" max="16" width="16" hidden="0" customWidth="1"/>
    <x:col min="17" max="17" width="21" hidden="0" customWidth="1"/>
    <x:col min="18" max="18" width="23" hidden="0" customWidth="1"/>
    <x:col min="19" max="19" width="24" hidden="0" customWidth="1"/>
    <x:col min="20" max="20" width="10" hidden="0" customWidth="1"/>
    <x:col min="21" max="21" width="20" hidden="0" customWidth="1"/>
    <x:col min="22" max="22" width="30" hidden="0" customWidth="1"/>
    <x:col min="23" max="23" width="38" hidden="0" customWidth="1"/>
    <x:col min="24" max="24" width="38" hidden="0" customWidth="1"/>
    <x:col min="25" max="25" width="40" hidden="0" customWidth="1"/>
    <x:col min="26" max="26" width="40" hidden="0" customWidth="1"/>
    <x:col min="27" max="27" width="32" hidden="0" customWidth="1"/>
    <x:col min="28" max="28" width="25" hidden="0" customWidth="1"/>
    <x:col min="29" max="29" width="65" hidden="0" customWidth="1"/>
    <x:col min="30" max="30" width="64" hidden="0" customWidth="1"/>
    <x:col min="31" max="31" width="110" hidden="0" customWidth="1"/>
  </x:cols>
  <x:sheetData>
    <x:row r="1" ht="38" customHeight="1">
      <x:c r="A1" s="5" t="str">
        <x:v>动力学标签  |  保留原值与单位换算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6" t="str">
        <x:v>蓝色数字是来源值；P–S列为公式。K列eq表示“=”点估计，&lt;表示界限；ND为空。表观动力学与各实验条件分别解释。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</x:row>
    <x:row r="4" ht="40" customHeight="1">
      <x:c r="A4" s="8" t="str">
        <x:v>label_id</x:v>
      </x:c>
      <x:c r="B4" s="8" t="str">
        <x:v>enzyme</x:v>
      </x:c>
      <x:c r="C4" s="8" t="str">
        <x:v>variant</x:v>
      </x:c>
      <x:c r="D4" s="8" t="str">
        <x:v>substrate</x:v>
      </x:c>
      <x:c r="E4" s="8" t="str">
        <x:v>record_status</x:v>
      </x:c>
      <x:c r="F4" s="8" t="str">
        <x:v>kcat_original</x:v>
      </x:c>
      <x:c r="G4" s="8" t="str">
        <x:v>kcat_unit</x:v>
      </x:c>
      <x:c r="H4" s="8" t="str">
        <x:v>kcat_uncertainty_original</x:v>
      </x:c>
      <x:c r="I4" s="8" t="str">
        <x:v>Km_original</x:v>
      </x:c>
      <x:c r="J4" s="8" t="str">
        <x:v>Km_unit</x:v>
      </x:c>
      <x:c r="K4" s="8" t="str">
        <x:v>Km_comparator</x:v>
      </x:c>
      <x:c r="L4" s="8" t="str">
        <x:v>Km_uncertainty_original</x:v>
      </x:c>
      <x:c r="M4" s="8" t="str">
        <x:v>efficiency_original</x:v>
      </x:c>
      <x:c r="N4" s="8" t="str">
        <x:v>efficiency_unit</x:v>
      </x:c>
      <x:c r="O4" s="8" t="str">
        <x:v>efficiency_uncertainty_original</x:v>
      </x:c>
      <x:c r="P4" s="18" t="str">
        <x:v>kcat_s_1</x:v>
      </x:c>
      <x:c r="Q4" s="18" t="str">
        <x:v>Km_value_or_bound_M</x:v>
      </x:c>
      <x:c r="R4" s="18" t="str">
        <x:v>efficiency_reported_M_1_s_1</x:v>
      </x:c>
      <x:c r="S4" s="18" t="str">
        <x:v>efficiency_ratio_derived_M_1_s_1</x:v>
      </x:c>
      <x:c r="T4" s="8" t="str">
        <x:v>pH</x:v>
      </x:c>
      <x:c r="U4" s="8" t="str">
        <x:v>temperature_C_nominal</x:v>
      </x:c>
      <x:c r="V4" s="8" t="str">
        <x:v>assay_cofactor</x:v>
      </x:c>
      <x:c r="W4" s="8" t="str">
        <x:v>label_qualification</x:v>
      </x:c>
      <x:c r="X4" s="8" t="str">
        <x:v>default_use</x:v>
      </x:c>
      <x:c r="Y4" s="8" t="str">
        <x:v>experimental_complex_pdb_ids</x:v>
      </x:c>
      <x:c r="Z4" s="8" t="str">
        <x:v>experimental_protein_pdb_ids</x:v>
      </x:c>
      <x:c r="AA4" s="8" t="str">
        <x:v>template_pdb_ids</x:v>
      </x:c>
      <x:c r="AB4" s="8" t="str">
        <x:v>source_id</x:v>
      </x:c>
      <x:c r="AC4" s="8" t="str">
        <x:v>source_url</x:v>
      </x:c>
      <x:c r="AD4" s="8" t="str">
        <x:v>source_location</x:v>
      </x:c>
      <x:c r="AE4" s="8" t="str">
        <x:v>quality_flags</x:v>
      </x:c>
    </x:row>
    <x:row r="5" ht="64" customHeight="1">
      <x:c r="A5" s="3" t="str">
        <x:v>6ZZO_PaHBDH_AAE</x:v>
      </x:c>
      <x:c r="B5" s="3" t="str">
        <x:v>PaHBDH</x:v>
      </x:c>
      <x:c r="C5" s="3" t="str">
        <x:v>WT</x:v>
      </x:c>
      <x:c r="D5" s="3" t="str">
        <x:v>acetoacetate</x:v>
      </x:c>
      <x:c r="E5" s="3" t="str">
        <x:v>measured_numeric</x:v>
      </x:c>
      <x:c r="F5" s="16" t="n">
        <x:v>30</x:v>
      </x:c>
      <x:c r="G5" s="3" t="str">
        <x:v>s^-1</x:v>
      </x:c>
      <x:c r="H5" s="16" t="n">
        <x:v>1</x:v>
      </x:c>
      <x:c r="I5" s="16" t="n">
        <x:v>0.05</x:v>
      </x:c>
      <x:c r="J5" s="3" t="str">
        <x:v>mM</x:v>
      </x:c>
      <x:c r="K5" s="3" t="str">
        <x:v>eq</x:v>
      </x:c>
      <x:c r="L5" s="16" t="n">
        <x:v>0.01</x:v>
      </x:c>
      <x:c r="M5" s="16" t="n">
        <x:v>630000</x:v>
      </x:c>
      <x:c r="N5" s="3" t="str">
        <x:v>M^-1 s^-1</x:v>
      </x:c>
      <x:c r="O5" s="16" t="n">
        <x:v>80000</x:v>
      </x:c>
      <x:c r="P5" s="17" t="n">
        <x:f>F5</x:f>
        <x:v>30</x:v>
      </x:c>
      <x:c r="Q5" s="17" t="n">
        <x:f>I5/1000</x:f>
        <x:v>0.00005</x:v>
      </x:c>
      <x:c r="R5" s="17" t="n">
        <x:f>M5</x:f>
        <x:v>630000</x:v>
      </x:c>
      <x:c r="S5" s="17" t="n">
        <x:f>P5/Q5</x:f>
        <x:v>600000</x:v>
      </x:c>
      <x:c r="T5" s="3" t="n">
        <x:v>7</x:v>
      </x:c>
      <x:c r="U5" s="3" t="n">
        <x:v>10</x:v>
      </x:c>
      <x:c r="V5" s="3" t="str">
        <x:v>NADH</x:v>
      </x:c>
      <x:c r="W5" s="3" t="str">
        <x:v>steady_state_reduction</x:v>
      </x:c>
      <x:c r="X5" s="3" t="str">
        <x:v>within_assay_kinetic_reference</x:v>
      </x:c>
      <x:c r="Y5" s="3" t="str">
        <x:v>6ZZO</x:v>
      </x:c>
      <x:c r="Z5" s="3" t="str">
        <x:v>6ZZO</x:v>
      </x:c>
      <x:c r="AA5" s="3" t="str"/>
      <x:c r="AB5" s="3" t="str">
        <x:v>HBDH2018_SI</x:v>
      </x:c>
      <x:c r="AC5" s="3" t="str">
        <x:v>https://doi.org/10.1021/acs.biochem.8b01099.s001</x:v>
      </x:c>
      <x:c r="AD5" s="3" t="str">
        <x:v>2018 Supporting Information Table S2, p. S15, 283 K row</x:v>
      </x:c>
      <x:c r="AE5" s="3" t="str">
        <x:v>Crystal NAD+ differs from assay NADH; 2018 SI: 283 K; 2020 nominal 10 C; Assay terminal processing differs from deposited polymer reference</x:v>
      </x:c>
    </x:row>
    <x:row r="6" ht="64" customHeight="1">
      <x:c r="A6" s="3" t="str">
        <x:v>6ZZP_PaHBDH_QT8</x:v>
      </x:c>
      <x:c r="B6" s="3" t="str">
        <x:v>PaHBDH</x:v>
      </x:c>
      <x:c r="C6" s="3" t="str">
        <x:v>WT</x:v>
      </x:c>
      <x:c r="D6" s="3" t="str">
        <x:v>3-oxovalerate</x:v>
      </x:c>
      <x:c r="E6" s="3" t="str">
        <x:v>measured_numeric</x:v>
      </x:c>
      <x:c r="F6" s="16" t="n">
        <x:v>2.6</x:v>
      </x:c>
      <x:c r="G6" s="3" t="str">
        <x:v>s^-1</x:v>
      </x:c>
      <x:c r="H6" s="16" t="n">
        <x:v>0.2</x:v>
      </x:c>
      <x:c r="I6" s="16" t="n">
        <x:v>0.014</x:v>
      </x:c>
      <x:c r="J6" s="3" t="str">
        <x:v>mM</x:v>
      </x:c>
      <x:c r="K6" s="3" t="str">
        <x:v>eq</x:v>
      </x:c>
      <x:c r="L6" s="16" t="n">
        <x:v>0.001</x:v>
      </x:c>
      <x:c r="M6" s="16" t="n">
        <x:v>180000</x:v>
      </x:c>
      <x:c r="N6" s="3" t="str">
        <x:v>M^-1 s^-1</x:v>
      </x:c>
      <x:c r="O6" s="16" t="n">
        <x:v>20000</x:v>
      </x:c>
      <x:c r="P6" s="17" t="n">
        <x:f>F6</x:f>
        <x:v>2.6</x:v>
      </x:c>
      <x:c r="Q6" s="17" t="n">
        <x:f>I6/1000</x:f>
        <x:v>0.000014</x:v>
      </x:c>
      <x:c r="R6" s="17" t="n">
        <x:f>M6</x:f>
        <x:v>180000</x:v>
      </x:c>
      <x:c r="S6" s="17" t="n">
        <x:f>P6/Q6</x:f>
        <x:v>185714.2857142857</x:v>
      </x:c>
      <x:c r="T6" s="3" t="n">
        <x:v>7</x:v>
      </x:c>
      <x:c r="U6" s="3" t="n">
        <x:v>10</x:v>
      </x:c>
      <x:c r="V6" s="3" t="str">
        <x:v>NADH</x:v>
      </x:c>
      <x:c r="W6" s="3" t="str">
        <x:v>steady_state_reduction</x:v>
      </x:c>
      <x:c r="X6" s="3" t="str">
        <x:v>within_assay_kinetic_reference</x:v>
      </x:c>
      <x:c r="Y6" s="3" t="str">
        <x:v>6ZZP</x:v>
      </x:c>
      <x:c r="Z6" s="3" t="str">
        <x:v>6ZZP</x:v>
      </x:c>
      <x:c r="AA6" s="3" t="str"/>
      <x:c r="AB6" s="3" t="str">
        <x:v>HBDH2018_SI</x:v>
      </x:c>
      <x:c r="AC6" s="3" t="str">
        <x:v>https://doi.org/10.1021/acs.biochem.8b01099.s001</x:v>
      </x:c>
      <x:c r="AD6" s="3" t="str">
        <x:v>2018 Supporting Information Table S4, p. S16, 283 K row</x:v>
      </x:c>
      <x:c r="AE6" s="3" t="str">
        <x:v>Crystal NAD+ differs from assay NADH; 2018 SI: 283 K; 2020 nominal 10 C; Assay terminal processing differs from deposited polymer reference</x:v>
      </x:c>
    </x:row>
    <x:row r="7" ht="64" customHeight="1">
      <x:c r="A7" s="3" t="str">
        <x:v>6ZZQ_AbHBDH_AAE</x:v>
      </x:c>
      <x:c r="B7" s="3" t="str">
        <x:v>AbHBDH</x:v>
      </x:c>
      <x:c r="C7" s="3" t="str">
        <x:v>WT</x:v>
      </x:c>
      <x:c r="D7" s="3" t="str">
        <x:v>acetoacetate</x:v>
      </x:c>
      <x:c r="E7" s="3" t="str">
        <x:v>measured_numeric</x:v>
      </x:c>
      <x:c r="F7" s="16" t="n">
        <x:v>3.4</x:v>
      </x:c>
      <x:c r="G7" s="3" t="str">
        <x:v>s^-1</x:v>
      </x:c>
      <x:c r="H7" s="16" t="n">
        <x:v>0.1</x:v>
      </x:c>
      <x:c r="I7" s="16" t="n">
        <x:v>0.14</x:v>
      </x:c>
      <x:c r="J7" s="3" t="str">
        <x:v>mM</x:v>
      </x:c>
      <x:c r="K7" s="3" t="str">
        <x:v>eq</x:v>
      </x:c>
      <x:c r="L7" s="16" t="n">
        <x:v>0.01</x:v>
      </x:c>
      <x:c r="M7" s="16" t="n">
        <x:v>24000</x:v>
      </x:c>
      <x:c r="N7" s="3" t="str">
        <x:v>M^-1 s^-1</x:v>
      </x:c>
      <x:c r="O7" s="16" t="n">
        <x:v>2000</x:v>
      </x:c>
      <x:c r="P7" s="17" t="n">
        <x:f>F7</x:f>
        <x:v>3.4</x:v>
      </x:c>
      <x:c r="Q7" s="17" t="n">
        <x:f>I7/1000</x:f>
        <x:v>0.00014000000000000001</x:v>
      </x:c>
      <x:c r="R7" s="17" t="n">
        <x:f>M7</x:f>
        <x:v>24000</x:v>
      </x:c>
      <x:c r="S7" s="17" t="n">
        <x:f>P7/Q7</x:f>
        <x:v>24285.714285714283</x:v>
      </x:c>
      <x:c r="T7" s="3" t="n">
        <x:v>7</x:v>
      </x:c>
      <x:c r="U7" s="3" t="n">
        <x:v>10</x:v>
      </x:c>
      <x:c r="V7" s="3" t="str">
        <x:v>NADH</x:v>
      </x:c>
      <x:c r="W7" s="3" t="str">
        <x:v>steady_state_reduction</x:v>
      </x:c>
      <x:c r="X7" s="3" t="str">
        <x:v>within_assay_kinetic_reference</x:v>
      </x:c>
      <x:c r="Y7" s="3" t="str">
        <x:v>6ZZQ</x:v>
      </x:c>
      <x:c r="Z7" s="3" t="str">
        <x:v>6ZZQ</x:v>
      </x:c>
      <x:c r="AA7" s="3" t="str"/>
      <x:c r="AB7" s="3" t="str">
        <x:v>HBDH2018_SI</x:v>
      </x:c>
      <x:c r="AC7" s="3" t="str">
        <x:v>https://doi.org/10.1021/acs.biochem.8b01099.s001</x:v>
      </x:c>
      <x:c r="AD7" s="3" t="str">
        <x:v>2018 Supporting Information Table S1, p. S15, 283 K row</x:v>
      </x:c>
      <x:c r="AE7" s="3" t="str">
        <x:v>Crystal NAD+ differs from assay NADH; 2018 SI: 283 K; 2020 nominal 10 C; Assay terminal processing differs from deposited polymer reference</x:v>
      </x:c>
    </x:row>
    <x:row r="8" ht="64" customHeight="1">
      <x:c r="A8" s="3" t="str">
        <x:v>6ZZS_AbHBDH_QT8</x:v>
      </x:c>
      <x:c r="B8" s="3" t="str">
        <x:v>AbHBDH</x:v>
      </x:c>
      <x:c r="C8" s="3" t="str">
        <x:v>WT</x:v>
      </x:c>
      <x:c r="D8" s="3" t="str">
        <x:v>3-oxovalerate</x:v>
      </x:c>
      <x:c r="E8" s="3" t="str">
        <x:v>measured_numeric</x:v>
      </x:c>
      <x:c r="F8" s="16" t="n">
        <x:v>0.21</x:v>
      </x:c>
      <x:c r="G8" s="3" t="str">
        <x:v>s^-1</x:v>
      </x:c>
      <x:c r="H8" s="16" t="n">
        <x:v>0.01</x:v>
      </x:c>
      <x:c r="I8" s="16" t="n">
        <x:v>0.05</x:v>
      </x:c>
      <x:c r="J8" s="3" t="str">
        <x:v>mM</x:v>
      </x:c>
      <x:c r="K8" s="3" t="str">
        <x:v>eq</x:v>
      </x:c>
      <x:c r="L8" s="16" t="n">
        <x:v>0.01</x:v>
      </x:c>
      <x:c r="M8" s="16" t="n">
        <x:v>3800</x:v>
      </x:c>
      <x:c r="N8" s="3" t="str">
        <x:v>M^-1 s^-1</x:v>
      </x:c>
      <x:c r="O8" s="16" t="n">
        <x:v>800</x:v>
      </x:c>
      <x:c r="P8" s="17" t="n">
        <x:f>F8</x:f>
        <x:v>0.21</x:v>
      </x:c>
      <x:c r="Q8" s="17" t="n">
        <x:f>I8/1000</x:f>
        <x:v>0.00005</x:v>
      </x:c>
      <x:c r="R8" s="17" t="n">
        <x:f>M8</x:f>
        <x:v>3800</x:v>
      </x:c>
      <x:c r="S8" s="17" t="n">
        <x:f>P8/Q8</x:f>
        <x:v>4200</x:v>
      </x:c>
      <x:c r="T8" s="3" t="n">
        <x:v>7</x:v>
      </x:c>
      <x:c r="U8" s="3" t="n">
        <x:v>10</x:v>
      </x:c>
      <x:c r="V8" s="3" t="str">
        <x:v>NADH</x:v>
      </x:c>
      <x:c r="W8" s="3" t="str">
        <x:v>steady_state_reduction</x:v>
      </x:c>
      <x:c r="X8" s="3" t="str">
        <x:v>within_assay_kinetic_reference</x:v>
      </x:c>
      <x:c r="Y8" s="3" t="str">
        <x:v>6ZZS</x:v>
      </x:c>
      <x:c r="Z8" s="3" t="str">
        <x:v>6ZZS</x:v>
      </x:c>
      <x:c r="AA8" s="3" t="str"/>
      <x:c r="AB8" s="3" t="str">
        <x:v>HBDH2018_SI</x:v>
      </x:c>
      <x:c r="AC8" s="3" t="str">
        <x:v>https://doi.org/10.1021/acs.biochem.8b01099.s001</x:v>
      </x:c>
      <x:c r="AD8" s="3" t="str">
        <x:v>2018 Supporting Information Table S3, p. S16, 283 K row</x:v>
      </x:c>
      <x:c r="AE8" s="3" t="str">
        <x:v>Crystal NAD+ differs from assay NADH; 2018 SI: 283 K; 2020 nominal 10 C; Assay terminal processing differs from deposited polymer reference</x:v>
      </x:c>
    </x:row>
    <x:row r="9" ht="64" customHeight="1">
      <x:c r="A9" s="3" t="str">
        <x:v>PaHBDH_H150A_AAE_activity_only</x:v>
      </x:c>
      <x:c r="B9" s="3" t="str">
        <x:v>PaHBDH</x:v>
      </x:c>
      <x:c r="C9" s="3" t="str">
        <x:v>H150A</x:v>
      </x:c>
      <x:c r="D9" s="3" t="str">
        <x:v>acetoacetate</x:v>
      </x:c>
      <x:c r="E9" s="3" t="str">
        <x:v>measured_numeric</x:v>
      </x:c>
      <x:c r="F9" s="16" t="n">
        <x:v>0.54</x:v>
      </x:c>
      <x:c r="G9" s="3" t="str">
        <x:v>s^-1</x:v>
      </x:c>
      <x:c r="H9" s="16" t="n">
        <x:v>0.01</x:v>
      </x:c>
      <x:c r="I9" s="16" t="n">
        <x:v>1</x:v>
      </x:c>
      <x:c r="J9" s="3" t="str">
        <x:v>mM</x:v>
      </x:c>
      <x:c r="K9" s="3" t="str">
        <x:v>eq</x:v>
      </x:c>
      <x:c r="L9" s="16" t="n">
        <x:v>0.2</x:v>
      </x:c>
      <x:c r="M9" s="16" t="str"/>
      <x:c r="N9" s="3" t="str"/>
      <x:c r="O9" s="16" t="str"/>
      <x:c r="P9" s="17" t="n">
        <x:f>F9</x:f>
        <x:v>0.54</x:v>
      </x:c>
      <x:c r="Q9" s="17" t="n">
        <x:f>I9/1000</x:f>
        <x:v>0.001</x:v>
      </x:c>
      <x:c r="R9" s="17" t="str"/>
      <x:c r="S9" s="17" t="n">
        <x:f>P9/Q9</x:f>
        <x:v>540</x:v>
      </x:c>
      <x:c r="T9" s="3" t="n">
        <x:v>7</x:v>
      </x:c>
      <x:c r="U9" s="3" t="n">
        <x:v>10</x:v>
      </x:c>
      <x:c r="V9" s="3" t="str">
        <x:v>NADH</x:v>
      </x:c>
      <x:c r="W9" s="3" t="str">
        <x:v>steady_state_reduction</x:v>
      </x:c>
      <x:c r="X9" s="3" t="str">
        <x:v>within_assay_kinetic_reference</x:v>
      </x:c>
      <x:c r="Y9" s="3" t="str"/>
      <x:c r="Z9" s="3" t="str"/>
      <x:c r="AA9" s="3" t="str">
        <x:v>6ZZO</x:v>
      </x:c>
      <x:c r="AB9" s="3" t="str">
        <x:v>HBDH2020</x:v>
      </x:c>
      <x:c r="AC9" s="3" t="str">
        <x:v>https://doi.org/10.1021/acscatal.0c04736</x:v>
      </x:c>
      <x:c r="AD9" s="3" t="str">
        <x:v>2020 Table 4; mutant row</x:v>
      </x:c>
      <x:c r="AE9" s="3" t="str">
        <x:v>No matched mutant experimental complex</x:v>
      </x:c>
    </x:row>
    <x:row r="10" ht="64" customHeight="1">
      <x:c r="A10" s="3" t="str">
        <x:v>PaHBDH_H150N_AAE_activity_only</x:v>
      </x:c>
      <x:c r="B10" s="3" t="str">
        <x:v>PaHBDH</x:v>
      </x:c>
      <x:c r="C10" s="3" t="str">
        <x:v>H150N</x:v>
      </x:c>
      <x:c r="D10" s="3" t="str">
        <x:v>acetoacetate</x:v>
      </x:c>
      <x:c r="E10" s="11" t="str">
        <x:v>measured_numeric</x:v>
      </x:c>
      <x:c r="F10" s="19" t="n">
        <x:v>0.014</x:v>
      </x:c>
      <x:c r="G10" s="11" t="str">
        <x:v>s^-1</x:v>
      </x:c>
      <x:c r="H10" s="19" t="n">
        <x:v>0.0004</x:v>
      </x:c>
      <x:c r="I10" s="19" t="n">
        <x:v>5400</x:v>
      </x:c>
      <x:c r="J10" s="11" t="str">
        <x:v>mM</x:v>
      </x:c>
      <x:c r="K10" s="11" t="str">
        <x:v>&lt;</x:v>
      </x:c>
      <x:c r="L10" s="19" t="str"/>
      <x:c r="M10" s="19" t="str"/>
      <x:c r="N10" s="11" t="str"/>
      <x:c r="O10" s="19" t="str"/>
      <x:c r="P10" s="20" t="n">
        <x:f>F10</x:f>
        <x:v>0.014</x:v>
      </x:c>
      <x:c r="Q10" s="20" t="n">
        <x:f>I10/1000</x:f>
        <x:v>5.4</x:v>
      </x:c>
      <x:c r="R10" s="20" t="str"/>
      <x:c r="S10" s="20" t="str"/>
      <x:c r="T10" s="3" t="n">
        <x:v>7</x:v>
      </x:c>
      <x:c r="U10" s="3" t="n">
        <x:v>10</x:v>
      </x:c>
      <x:c r="V10" s="3" t="str">
        <x:v>NADH</x:v>
      </x:c>
      <x:c r="W10" s="3" t="str">
        <x:v>steady_state_reduction</x:v>
      </x:c>
      <x:c r="X10" s="3" t="str">
        <x:v>kcat_only_Km_bound_quarantined</x:v>
      </x:c>
      <x:c r="Y10" s="3" t="str"/>
      <x:c r="Z10" s="3" t="str"/>
      <x:c r="AA10" s="3" t="str">
        <x:v>6ZZO</x:v>
      </x:c>
      <x:c r="AB10" s="3" t="str">
        <x:v>HBDH2020</x:v>
      </x:c>
      <x:c r="AC10" s="3" t="str">
        <x:v>https://doi.org/10.1021/acscatal.0c04736</x:v>
      </x:c>
      <x:c r="AD10" s="3" t="str">
        <x:v>2020 Table 4; mutant row</x:v>
      </x:c>
      <x:c r="AE10" s="3" t="str">
        <x:v>No matched mutant experimental complex; The source literally prints Km(AcAc) &lt;5400 in a column labelled mM; this is unusually large relative to tested concentrations. Preserved exactly and flagged for source/author verification; not silently converted to microM, corrected, set to zero, or treated as a point estimate.</x:v>
      </x:c>
    </x:row>
    <x:row r="11" ht="64" customHeight="1">
      <x:c r="A11" s="3" t="str">
        <x:v>AbHBDH_N145A_AAE_activity_only</x:v>
      </x:c>
      <x:c r="B11" s="3" t="str">
        <x:v>AbHBDH</x:v>
      </x:c>
      <x:c r="C11" s="3" t="str">
        <x:v>N145A</x:v>
      </x:c>
      <x:c r="D11" s="3" t="str">
        <x:v>acetoacetate</x:v>
      </x:c>
      <x:c r="E11" s="3" t="str">
        <x:v>measured_numeric</x:v>
      </x:c>
      <x:c r="F11" s="16" t="n">
        <x:v>0.103</x:v>
      </x:c>
      <x:c r="G11" s="3" t="str">
        <x:v>s^-1</x:v>
      </x:c>
      <x:c r="H11" s="16" t="n">
        <x:v>0.003</x:v>
      </x:c>
      <x:c r="I11" s="16" t="n">
        <x:v>0.33</x:v>
      </x:c>
      <x:c r="J11" s="3" t="str">
        <x:v>mM</x:v>
      </x:c>
      <x:c r="K11" s="3" t="str">
        <x:v>eq</x:v>
      </x:c>
      <x:c r="L11" s="16" t="n">
        <x:v>0.04</x:v>
      </x:c>
      <x:c r="M11" s="16" t="str"/>
      <x:c r="N11" s="3" t="str"/>
      <x:c r="O11" s="16" t="str"/>
      <x:c r="P11" s="17" t="n">
        <x:f>F11</x:f>
        <x:v>0.103</x:v>
      </x:c>
      <x:c r="Q11" s="17" t="n">
        <x:f>I11/1000</x:f>
        <x:v>0.00033</x:v>
      </x:c>
      <x:c r="R11" s="17" t="str"/>
      <x:c r="S11" s="17" t="n">
        <x:f>P11/Q11</x:f>
        <x:v>312.1212121212121</x:v>
      </x:c>
      <x:c r="T11" s="3" t="n">
        <x:v>7</x:v>
      </x:c>
      <x:c r="U11" s="3" t="n">
        <x:v>10</x:v>
      </x:c>
      <x:c r="V11" s="3" t="str">
        <x:v>NADH</x:v>
      </x:c>
      <x:c r="W11" s="3" t="str">
        <x:v>steady_state_reduction</x:v>
      </x:c>
      <x:c r="X11" s="3" t="str">
        <x:v>within_assay_kinetic_reference</x:v>
      </x:c>
      <x:c r="Y11" s="3" t="str"/>
      <x:c r="Z11" s="3" t="str"/>
      <x:c r="AA11" s="3" t="str">
        <x:v>6ZZQ</x:v>
      </x:c>
      <x:c r="AB11" s="3" t="str">
        <x:v>HBDH2020</x:v>
      </x:c>
      <x:c r="AC11" s="3" t="str">
        <x:v>https://doi.org/10.1021/acscatal.0c04736</x:v>
      </x:c>
      <x:c r="AD11" s="3" t="str">
        <x:v>2020 Table 4; mutant row</x:v>
      </x:c>
      <x:c r="AE11" s="3" t="str">
        <x:v>No matched mutant experimental complex</x:v>
      </x:c>
    </x:row>
    <x:row r="12" ht="64" customHeight="1">
      <x:c r="A12" s="3" t="str">
        <x:v>AbHBDH_N145H_AAE_activity_only</x:v>
      </x:c>
      <x:c r="B12" s="3" t="str">
        <x:v>AbHBDH</x:v>
      </x:c>
      <x:c r="C12" s="3" t="str">
        <x:v>N145H</x:v>
      </x:c>
      <x:c r="D12" s="3" t="str">
        <x:v>acetoacetate</x:v>
      </x:c>
      <x:c r="E12" s="3" t="str">
        <x:v>measured_numeric</x:v>
      </x:c>
      <x:c r="F12" s="16" t="n">
        <x:v>0.87</x:v>
      </x:c>
      <x:c r="G12" s="3" t="str">
        <x:v>s^-1</x:v>
      </x:c>
      <x:c r="H12" s="16" t="n">
        <x:v>0.03</x:v>
      </x:c>
      <x:c r="I12" s="16" t="n">
        <x:v>2.6</x:v>
      </x:c>
      <x:c r="J12" s="3" t="str">
        <x:v>mM</x:v>
      </x:c>
      <x:c r="K12" s="3" t="str">
        <x:v>eq</x:v>
      </x:c>
      <x:c r="L12" s="16" t="n">
        <x:v>0.4</x:v>
      </x:c>
      <x:c r="M12" s="16" t="str"/>
      <x:c r="N12" s="3" t="str"/>
      <x:c r="O12" s="16" t="str"/>
      <x:c r="P12" s="17" t="n">
        <x:f>F12</x:f>
        <x:v>0.87</x:v>
      </x:c>
      <x:c r="Q12" s="17" t="n">
        <x:f>I12/1000</x:f>
        <x:v>0.0026</x:v>
      </x:c>
      <x:c r="R12" s="17" t="str"/>
      <x:c r="S12" s="17" t="n">
        <x:f>P12/Q12</x:f>
        <x:v>334.61538461538464</x:v>
      </x:c>
      <x:c r="T12" s="3" t="n">
        <x:v>7</x:v>
      </x:c>
      <x:c r="U12" s="3" t="n">
        <x:v>10</x:v>
      </x:c>
      <x:c r="V12" s="3" t="str">
        <x:v>NADH</x:v>
      </x:c>
      <x:c r="W12" s="3" t="str">
        <x:v>steady_state_reduction</x:v>
      </x:c>
      <x:c r="X12" s="3" t="str">
        <x:v>within_assay_kinetic_reference</x:v>
      </x:c>
      <x:c r="Y12" s="3" t="str"/>
      <x:c r="Z12" s="3" t="str"/>
      <x:c r="AA12" s="3" t="str">
        <x:v>6ZZQ</x:v>
      </x:c>
      <x:c r="AB12" s="3" t="str">
        <x:v>HBDH2020</x:v>
      </x:c>
      <x:c r="AC12" s="3" t="str">
        <x:v>https://doi.org/10.1021/acscatal.0c04736</x:v>
      </x:c>
      <x:c r="AD12" s="3" t="str">
        <x:v>2020 Table 4; mutant row</x:v>
      </x:c>
      <x:c r="AE12" s="3" t="str">
        <x:v>No matched mutant experimental complex</x:v>
      </x:c>
    </x:row>
    <x:row r="13" ht="64" customHeight="1">
      <x:c r="A13" s="3" t="str">
        <x:v>LB_WT_AP_NADPH_2005</x:v>
      </x:c>
      <x:c r="B13" s="3" t="str">
        <x:v>LbADH</x:v>
      </x:c>
      <x:c r="C13" s="3" t="str">
        <x:v>WT</x:v>
      </x:c>
      <x:c r="D13" s="3" t="str">
        <x:v>acetophenone</x:v>
      </x:c>
      <x:c r="E13" s="3" t="str">
        <x:v>measured_numeric</x:v>
      </x:c>
      <x:c r="F13" s="16" t="n">
        <x:v>44.5</x:v>
      </x:c>
      <x:c r="G13" s="3" t="str">
        <x:v>s^-1</x:v>
      </x:c>
      <x:c r="H13" s="16" t="n">
        <x:v>3.7</x:v>
      </x:c>
      <x:c r="I13" s="16" t="n">
        <x:v>2.8</x:v>
      </x:c>
      <x:c r="J13" s="3" t="str">
        <x:v>mM</x:v>
      </x:c>
      <x:c r="K13" s="3" t="str">
        <x:v>eq</x:v>
      </x:c>
      <x:c r="L13" s="16" t="n">
        <x:v>0.2</x:v>
      </x:c>
      <x:c r="M13" s="16" t="n">
        <x:v>16000</x:v>
      </x:c>
      <x:c r="N13" s="3" t="str">
        <x:v>M^-1 s^-1</x:v>
      </x:c>
      <x:c r="O13" s="16" t="str"/>
      <x:c r="P13" s="17" t="n">
        <x:f>F13</x:f>
        <x:v>44.5</x:v>
      </x:c>
      <x:c r="Q13" s="17" t="n">
        <x:f>I13/1000</x:f>
        <x:v>0.0028</x:v>
      </x:c>
      <x:c r="R13" s="17" t="n">
        <x:f>M13</x:f>
        <x:v>16000</x:v>
      </x:c>
      <x:c r="S13" s="17" t="n">
        <x:f>P13/Q13</x:f>
        <x:v>15892.857142857143</x:v>
      </x:c>
      <x:c r="T13" s="3" t="n">
        <x:v>7</x:v>
      </x:c>
      <x:c r="U13" s="3" t="n">
        <x:v>30</x:v>
      </x:c>
      <x:c r="V13" s="3" t="str">
        <x:v>NADPH</x:v>
      </x:c>
      <x:c r="W13" s="3" t="str">
        <x:v>steady_state_reduction</x:v>
      </x:c>
      <x:c r="X13" s="3" t="str">
        <x:v>secondary_kinetic_reference</x:v>
      </x:c>
      <x:c r="Y13" s="3" t="str">
        <x:v>1ZK4</x:v>
      </x:c>
      <x:c r="Z13" s="3" t="str">
        <x:v>1ZK4</x:v>
      </x:c>
      <x:c r="AA13" s="3" t="str"/>
      <x:c r="AB13" s="3" t="str">
        <x:v>LbADH_BRENDA</x:v>
      </x:c>
      <x:c r="AC13" s="3" t="str">
        <x:v>https://brenda-enzymes.info/literature.php?e=1.1.1.2&amp;r=675348</x:v>
      </x:c>
      <x:c r="AD13" s="3" t="str">
        <x:v>BRENDA literature 675348; explicit table reprint in Kulishova 2010 Table 4-11</x:v>
      </x:c>
      <x:c r="AE13" s="3" t="str">
        <x:v>Original kinetic paper numeric table not directly read; All linked ligand poses fail strict density selection; WT/mutant cofactors differ</x:v>
      </x:c>
    </x:row>
    <x:row r="14" ht="64" customHeight="1">
      <x:c r="A14" s="3" t="str">
        <x:v>LB_G37D_AP_NADH_2005</x:v>
      </x:c>
      <x:c r="B14" s="3" t="str">
        <x:v>LbADH</x:v>
      </x:c>
      <x:c r="C14" s="3" t="str">
        <x:v>G37D</x:v>
      </x:c>
      <x:c r="D14" s="3" t="str">
        <x:v>acetophenone</x:v>
      </x:c>
      <x:c r="E14" s="3" t="str">
        <x:v>measured_numeric</x:v>
      </x:c>
      <x:c r="F14" s="16" t="n">
        <x:v>35.7</x:v>
      </x:c>
      <x:c r="G14" s="3" t="str">
        <x:v>s^-1</x:v>
      </x:c>
      <x:c r="H14" s="16" t="n">
        <x:v>3.6</x:v>
      </x:c>
      <x:c r="I14" s="16" t="n">
        <x:v>10.9</x:v>
      </x:c>
      <x:c r="J14" s="3" t="str">
        <x:v>mM</x:v>
      </x:c>
      <x:c r="K14" s="3" t="str">
        <x:v>eq</x:v>
      </x:c>
      <x:c r="L14" s="16" t="n">
        <x:v>1.1</x:v>
      </x:c>
      <x:c r="M14" s="16" t="n">
        <x:v>3300</x:v>
      </x:c>
      <x:c r="N14" s="3" t="str">
        <x:v>M^-1 s^-1</x:v>
      </x:c>
      <x:c r="O14" s="16" t="str"/>
      <x:c r="P14" s="17" t="n">
        <x:f>F14</x:f>
        <x:v>35.7</x:v>
      </x:c>
      <x:c r="Q14" s="17" t="n">
        <x:f>I14/1000</x:f>
        <x:v>0.0109</x:v>
      </x:c>
      <x:c r="R14" s="17" t="n">
        <x:f>M14</x:f>
        <x:v>3300</x:v>
      </x:c>
      <x:c r="S14" s="17" t="n">
        <x:f>P14/Q14</x:f>
        <x:v>3275.2293577981654</x:v>
      </x:c>
      <x:c r="T14" s="3" t="n">
        <x:v>7</x:v>
      </x:c>
      <x:c r="U14" s="3" t="n">
        <x:v>30</x:v>
      </x:c>
      <x:c r="V14" s="3" t="str">
        <x:v>NADH</x:v>
      </x:c>
      <x:c r="W14" s="3" t="str">
        <x:v>steady_state_reduction</x:v>
      </x:c>
      <x:c r="X14" s="3" t="str">
        <x:v>secondary_kinetic_reference</x:v>
      </x:c>
      <x:c r="Y14" s="3" t="str">
        <x:v>1ZJY; 1ZJZ; 1ZK0; 1ZK1</x:v>
      </x:c>
      <x:c r="Z14" s="3" t="str">
        <x:v>1ZJY; 1ZJZ; 1ZK0; 1ZK1</x:v>
      </x:c>
      <x:c r="AA14" s="3" t="str"/>
      <x:c r="AB14" s="3" t="str">
        <x:v>LbADH_BRENDA</x:v>
      </x:c>
      <x:c r="AC14" s="3" t="str">
        <x:v>https://brenda-enzymes.info/literature.php?e=1.1.1.2&amp;r=675348</x:v>
      </x:c>
      <x:c r="AD14" s="3" t="str">
        <x:v>BRENDA literature 675348; explicit table reprint in Kulishova 2010 Table 4-11</x:v>
      </x:c>
      <x:c r="AE14" s="3" t="str">
        <x:v>Original kinetic paper numeric table not directly read; All linked ligand poses fail strict density selection; WT/mutant cofactors differ</x:v>
      </x:c>
    </x:row>
    <x:row r="15" ht="64" customHeight="1">
      <x:c r="A15" s="3" t="str">
        <x:v>DSTRII_TROP_NADPH_2003</x:v>
      </x:c>
      <x:c r="B15" s="3" t="str">
        <x:v>tropinone reductase II</x:v>
      </x:c>
      <x:c r="C15" s="3" t="str">
        <x:v>WT</x:v>
      </x:c>
      <x:c r="D15" s="3" t="str">
        <x:v>tropinone</x:v>
      </x:c>
      <x:c r="E15" s="3" t="str">
        <x:v>measured_numeric</x:v>
      </x:c>
      <x:c r="F15" s="16" t="n">
        <x:v>71.4</x:v>
      </x:c>
      <x:c r="G15" s="3" t="str">
        <x:v>s^-1</x:v>
      </x:c>
      <x:c r="H15" s="16" t="str"/>
      <x:c r="I15" s="16" t="n">
        <x:v>0.0949</x:v>
      </x:c>
      <x:c r="J15" s="3" t="str">
        <x:v>mM</x:v>
      </x:c>
      <x:c r="K15" s="3" t="str">
        <x:v>eq</x:v>
      </x:c>
      <x:c r="L15" s="16" t="str"/>
      <x:c r="M15" s="16" t="str"/>
      <x:c r="N15" s="3" t="str"/>
      <x:c r="O15" s="16" t="str"/>
      <x:c r="P15" s="17" t="n">
        <x:f>F15</x:f>
        <x:v>71.4</x:v>
      </x:c>
      <x:c r="Q15" s="17" t="n">
        <x:f>I15/1000</x:f>
        <x:v>0.0000949</x:v>
      </x:c>
      <x:c r="R15" s="17" t="str"/>
      <x:c r="S15" s="17" t="n">
        <x:f>P15/Q15</x:f>
        <x:v>752370.9167544785</x:v>
      </x:c>
      <x:c r="T15" s="3" t="n">
        <x:v>7.5</x:v>
      </x:c>
      <x:c r="U15" s="3" t="n">
        <x:v>15</x:v>
      </x:c>
      <x:c r="V15" s="3" t="str">
        <x:v>NADPH</x:v>
      </x:c>
      <x:c r="W15" s="3" t="str">
        <x:v>steady_state_reduction</x:v>
      </x:c>
      <x:c r="X15" s="3" t="str">
        <x:v>secondary_kinetic_reference</x:v>
      </x:c>
      <x:c r="Y15" s="3" t="str">
        <x:v>1IPF; 2AE2</x:v>
      </x:c>
      <x:c r="Z15" s="3" t="str">
        <x:v>1IPF; 2AE2</x:v>
      </x:c>
      <x:c r="AA15" s="3" t="str"/>
      <x:c r="AB15" s="3" t="str">
        <x:v>TRII_BRENDA</x:v>
      </x:c>
      <x:c r="AC15" s="3" t="str">
        <x:v>https://www.brenda-enzymes.org/literature.php?e=1.1.1.236&amp;r=654707</x:v>
      </x:c>
      <x:c r="AD15" s="3" t="str">
        <x:v>BRENDA literature 654707</x:v>
      </x:c>
      <x:c r="AE15" s="3" t="str">
        <x:v>Original kinetic paper numeric table not directly read; 2AE2 cross-paper product-state transfer; mature core sequence verified</x:v>
      </x:c>
    </x:row>
    <x:row r="16" ht="64" customHeight="1">
      <x:c r="A16" s="3" t="str">
        <x:v>PNAS2015_WT_1</x:v>
      </x:c>
      <x:c r="B16" s="3" t="str">
        <x:v>LkKRED</x:v>
      </x:c>
      <x:c r="C16" s="3" t="str">
        <x:v>WT</x:v>
      </x:c>
      <x:c r="D16" s="3" t="str">
        <x:v>3-oxacyclopentanone</x:v>
      </x:c>
      <x:c r="E16" s="3" t="str">
        <x:v>measured_numeric</x:v>
      </x:c>
      <x:c r="F16" s="16" t="str"/>
      <x:c r="G16" s="3" t="str"/>
      <x:c r="H16" s="16" t="str"/>
      <x:c r="I16" s="16" t="str"/>
      <x:c r="J16" s="3" t="str"/>
      <x:c r="K16" s="3" t="str"/>
      <x:c r="L16" s="16" t="str"/>
      <x:c r="M16" s="16" t="n">
        <x:v>0.025</x:v>
      </x:c>
      <x:c r="N16" s="3" t="str">
        <x:v>mM^-1 min^-1</x:v>
      </x:c>
      <x:c r="O16" s="16" t="str"/>
      <x:c r="P16" s="17" t="str"/>
      <x:c r="Q16" s="17" t="str"/>
      <x:c r="R16" s="17" t="n">
        <x:f>M16*1000/60</x:f>
        <x:v>0.4166666666666667</x:v>
      </x:c>
      <x:c r="S16" s="17" t="str"/>
      <x:c r="T16" s="3" t="n">
        <x:v>7</x:v>
      </x:c>
      <x:c r="U16" s="3" t="n">
        <x:v>25</x:v>
      </x:c>
      <x:c r="V16" s="3" t="str">
        <x:v>NADPH</x:v>
      </x:c>
      <x:c r="W16" s="3" t="str">
        <x:v>reported_catalytic_efficiency</x:v>
      </x:c>
      <x:c r="X16" s="3" t="str">
        <x:v>within_assay_efficiency_ranking</x:v>
      </x:c>
      <x:c r="Y16" s="3" t="str"/>
      <x:c r="Z16" s="3" t="str">
        <x:v>4RF2; 4RF4</x:v>
      </x:c>
      <x:c r="AA16" s="3" t="str"/>
      <x:c r="AB16" s="3" t="str">
        <x:v>PNAS2015</x:v>
      </x:c>
      <x:c r="AC16" s="3" t="str">
        <x:v>https://pmc.ncbi.nlm.nih.gov/articles/PMC4697376/</x:v>
      </x:c>
      <x:c r="AD16" s="3" t="str">
        <x:v>Table 1</x:v>
      </x:c>
      <x:c r="AE16" s="3" t="str">
        <x:v>No experimentally resolved assayed ketone in public PDB structures</x:v>
      </x:c>
    </x:row>
    <x:row r="17" ht="64" customHeight="1">
      <x:c r="A17" s="3" t="str">
        <x:v>PNAS2015_WT_2</x:v>
      </x:c>
      <x:c r="B17" s="3" t="str">
        <x:v>LkKRED</x:v>
      </x:c>
      <x:c r="C17" s="3" t="str">
        <x:v>WT</x:v>
      </x:c>
      <x:c r="D17" s="3" t="str">
        <x:v>3-thiacyclopentanone</x:v>
      </x:c>
      <x:c r="E17" s="3" t="str">
        <x:v>measured_numeric</x:v>
      </x:c>
      <x:c r="F17" s="16" t="str"/>
      <x:c r="G17" s="3" t="str"/>
      <x:c r="H17" s="16" t="str"/>
      <x:c r="I17" s="16" t="str"/>
      <x:c r="J17" s="3" t="str"/>
      <x:c r="K17" s="3" t="str"/>
      <x:c r="L17" s="16" t="str"/>
      <x:c r="M17" s="16" t="n">
        <x:v>1.46</x:v>
      </x:c>
      <x:c r="N17" s="3" t="str">
        <x:v>mM^-1 min^-1</x:v>
      </x:c>
      <x:c r="O17" s="16" t="str"/>
      <x:c r="P17" s="17" t="str"/>
      <x:c r="Q17" s="17" t="str"/>
      <x:c r="R17" s="17" t="n">
        <x:f>M17*1000/60</x:f>
        <x:v>24.333333333333332</x:v>
      </x:c>
      <x:c r="S17" s="17" t="str"/>
      <x:c r="T17" s="3" t="n">
        <x:v>7</x:v>
      </x:c>
      <x:c r="U17" s="3" t="n">
        <x:v>25</x:v>
      </x:c>
      <x:c r="V17" s="3" t="str">
        <x:v>NADPH</x:v>
      </x:c>
      <x:c r="W17" s="3" t="str">
        <x:v>reported_catalytic_efficiency</x:v>
      </x:c>
      <x:c r="X17" s="3" t="str">
        <x:v>within_assay_efficiency_ranking</x:v>
      </x:c>
      <x:c r="Y17" s="3" t="str"/>
      <x:c r="Z17" s="3" t="str">
        <x:v>4RF2; 4RF4</x:v>
      </x:c>
      <x:c r="AA17" s="3" t="str"/>
      <x:c r="AB17" s="3" t="str">
        <x:v>PNAS2015</x:v>
      </x:c>
      <x:c r="AC17" s="3" t="str">
        <x:v>https://pmc.ncbi.nlm.nih.gov/articles/PMC4697376/</x:v>
      </x:c>
      <x:c r="AD17" s="3" t="str">
        <x:v>Table 1</x:v>
      </x:c>
      <x:c r="AE17" s="3" t="str">
        <x:v>No experimentally resolved assayed ketone in public PDB structures</x:v>
      </x:c>
    </x:row>
    <x:row r="18" ht="64" customHeight="1">
      <x:c r="A18" s="3" t="str">
        <x:v>PNAS2015_A94F_1</x:v>
      </x:c>
      <x:c r="B18" s="3" t="str">
        <x:v>LkKRED</x:v>
      </x:c>
      <x:c r="C18" s="3" t="str">
        <x:v>A94F</x:v>
      </x:c>
      <x:c r="D18" s="3" t="str">
        <x:v>3-oxacyclopentanone</x:v>
      </x:c>
      <x:c r="E18" s="3" t="str">
        <x:v>measured_numeric</x:v>
      </x:c>
      <x:c r="F18" s="16" t="str"/>
      <x:c r="G18" s="3" t="str"/>
      <x:c r="H18" s="16" t="str"/>
      <x:c r="I18" s="16" t="str"/>
      <x:c r="J18" s="3" t="str"/>
      <x:c r="K18" s="3" t="str"/>
      <x:c r="L18" s="16" t="str"/>
      <x:c r="M18" s="16" t="n">
        <x:v>0.005</x:v>
      </x:c>
      <x:c r="N18" s="3" t="str">
        <x:v>mM^-1 min^-1</x:v>
      </x:c>
      <x:c r="O18" s="16" t="str"/>
      <x:c r="P18" s="17" t="str"/>
      <x:c r="Q18" s="17" t="str"/>
      <x:c r="R18" s="17" t="n">
        <x:f>M18*1000/60</x:f>
        <x:v>0.08333333333333333</x:v>
      </x:c>
      <x:c r="S18" s="17" t="str"/>
      <x:c r="T18" s="3" t="n">
        <x:v>7</x:v>
      </x:c>
      <x:c r="U18" s="3" t="n">
        <x:v>25</x:v>
      </x:c>
      <x:c r="V18" s="3" t="str">
        <x:v>NADPH</x:v>
      </x:c>
      <x:c r="W18" s="3" t="str">
        <x:v>reported_catalytic_efficiency</x:v>
      </x:c>
      <x:c r="X18" s="3" t="str">
        <x:v>within_assay_efficiency_ranking</x:v>
      </x:c>
      <x:c r="Y18" s="3" t="str"/>
      <x:c r="Z18" s="3" t="str">
        <x:v>4RF3</x:v>
      </x:c>
      <x:c r="AA18" s="3" t="str"/>
      <x:c r="AB18" s="3" t="str">
        <x:v>PNAS2015</x:v>
      </x:c>
      <x:c r="AC18" s="3" t="str">
        <x:v>https://pmc.ncbi.nlm.nih.gov/articles/PMC4697376/</x:v>
      </x:c>
      <x:c r="AD18" s="3" t="str">
        <x:v>Table 1</x:v>
      </x:c>
      <x:c r="AE18" s="3" t="str">
        <x:v>No experimentally resolved assayed ketone in public PDB structures</x:v>
      </x:c>
    </x:row>
    <x:row r="19" ht="64" customHeight="1">
      <x:c r="A19" s="3" t="str">
        <x:v>PNAS2015_A94F_2</x:v>
      </x:c>
      <x:c r="B19" s="3" t="str">
        <x:v>LkKRED</x:v>
      </x:c>
      <x:c r="C19" s="3" t="str">
        <x:v>A94F</x:v>
      </x:c>
      <x:c r="D19" s="3" t="str">
        <x:v>3-thiacyclopentanone</x:v>
      </x:c>
      <x:c r="E19" s="3" t="str">
        <x:v>measured_numeric</x:v>
      </x:c>
      <x:c r="F19" s="16" t="str"/>
      <x:c r="G19" s="3" t="str"/>
      <x:c r="H19" s="16" t="str"/>
      <x:c r="I19" s="16" t="str"/>
      <x:c r="J19" s="3" t="str"/>
      <x:c r="K19" s="3" t="str"/>
      <x:c r="L19" s="16" t="str"/>
      <x:c r="M19" s="16" t="n">
        <x:v>0.016</x:v>
      </x:c>
      <x:c r="N19" s="3" t="str">
        <x:v>mM^-1 min^-1</x:v>
      </x:c>
      <x:c r="O19" s="16" t="str"/>
      <x:c r="P19" s="17" t="str"/>
      <x:c r="Q19" s="17" t="str"/>
      <x:c r="R19" s="17" t="n">
        <x:f>M19*1000/60</x:f>
        <x:v>0.26666666666666666</x:v>
      </x:c>
      <x:c r="S19" s="17" t="str"/>
      <x:c r="T19" s="3" t="n">
        <x:v>7</x:v>
      </x:c>
      <x:c r="U19" s="3" t="n">
        <x:v>25</x:v>
      </x:c>
      <x:c r="V19" s="3" t="str">
        <x:v>NADPH</x:v>
      </x:c>
      <x:c r="W19" s="3" t="str">
        <x:v>reported_catalytic_efficiency</x:v>
      </x:c>
      <x:c r="X19" s="3" t="str">
        <x:v>within_assay_efficiency_ranking</x:v>
      </x:c>
      <x:c r="Y19" s="3" t="str"/>
      <x:c r="Z19" s="3" t="str">
        <x:v>4RF3</x:v>
      </x:c>
      <x:c r="AA19" s="3" t="str"/>
      <x:c r="AB19" s="3" t="str">
        <x:v>PNAS2015</x:v>
      </x:c>
      <x:c r="AC19" s="3" t="str">
        <x:v>https://pmc.ncbi.nlm.nih.gov/articles/PMC4697376/</x:v>
      </x:c>
      <x:c r="AD19" s="3" t="str">
        <x:v>Table 1</x:v>
      </x:c>
      <x:c r="AE19" s="3" t="str">
        <x:v>No experimentally resolved assayed ketone in public PDB structures</x:v>
      </x:c>
    </x:row>
    <x:row r="20" ht="64" customHeight="1">
      <x:c r="A20" s="3" t="str">
        <x:v>PNAS2015_Y190F_1</x:v>
      </x:c>
      <x:c r="B20" s="3" t="str">
        <x:v>LkKRED</x:v>
      </x:c>
      <x:c r="C20" s="3" t="str">
        <x:v>Y190F</x:v>
      </x:c>
      <x:c r="D20" s="3" t="str">
        <x:v>3-oxacyclopentanone</x:v>
      </x:c>
      <x:c r="E20" s="21" t="str">
        <x:v>not_determined</x:v>
      </x:c>
      <x:c r="F20" s="22" t="str"/>
      <x:c r="G20" s="21" t="str"/>
      <x:c r="H20" s="22" t="str"/>
      <x:c r="I20" s="22" t="str"/>
      <x:c r="J20" s="21" t="str"/>
      <x:c r="K20" s="21" t="str"/>
      <x:c r="L20" s="22" t="str"/>
      <x:c r="M20" s="22" t="str"/>
      <x:c r="N20" s="21" t="str">
        <x:v>mM^-1 min^-1</x:v>
      </x:c>
      <x:c r="O20" s="22" t="str"/>
      <x:c r="P20" s="23" t="str"/>
      <x:c r="Q20" s="23" t="str"/>
      <x:c r="R20" s="23" t="str"/>
      <x:c r="S20" s="23" t="str"/>
      <x:c r="T20" s="3" t="n">
        <x:v>7</x:v>
      </x:c>
      <x:c r="U20" s="3" t="n">
        <x:v>25</x:v>
      </x:c>
      <x:c r="V20" s="3" t="str">
        <x:v>NADPH</x:v>
      </x:c>
      <x:c r="W20" s="3" t="str">
        <x:v>reported_catalytic_efficiency</x:v>
      </x:c>
      <x:c r="X20" s="3" t="str">
        <x:v>ND_not_zero</x:v>
      </x:c>
      <x:c r="Y20" s="3" t="str"/>
      <x:c r="Z20" s="3" t="str"/>
      <x:c r="AA20" s="3" t="str">
        <x:v>4RF2</x:v>
      </x:c>
      <x:c r="AB20" s="3" t="str">
        <x:v>PNAS2015</x:v>
      </x:c>
      <x:c r="AC20" s="3" t="str">
        <x:v>https://pmc.ncbi.nlm.nih.gov/articles/PMC4697376/</x:v>
      </x:c>
      <x:c r="AD20" s="3" t="str">
        <x:v>Table 1</x:v>
      </x:c>
      <x:c r="AE20" s="3" t="str">
        <x:v>No experimentally resolved assayed ketone in public PDB structures</x:v>
      </x:c>
    </x:row>
    <x:row r="21" ht="64" customHeight="1">
      <x:c r="A21" s="3" t="str">
        <x:v>PNAS2015_Y190F_2</x:v>
      </x:c>
      <x:c r="B21" s="3" t="str">
        <x:v>LkKRED</x:v>
      </x:c>
      <x:c r="C21" s="3" t="str">
        <x:v>Y190F</x:v>
      </x:c>
      <x:c r="D21" s="3" t="str">
        <x:v>3-thiacyclopentanone</x:v>
      </x:c>
      <x:c r="E21" s="21" t="str">
        <x:v>not_determined</x:v>
      </x:c>
      <x:c r="F21" s="22" t="str"/>
      <x:c r="G21" s="21" t="str"/>
      <x:c r="H21" s="22" t="str"/>
      <x:c r="I21" s="22" t="str"/>
      <x:c r="J21" s="21" t="str"/>
      <x:c r="K21" s="21" t="str"/>
      <x:c r="L21" s="22" t="str"/>
      <x:c r="M21" s="22" t="str"/>
      <x:c r="N21" s="21" t="str">
        <x:v>mM^-1 min^-1</x:v>
      </x:c>
      <x:c r="O21" s="22" t="str"/>
      <x:c r="P21" s="23" t="str"/>
      <x:c r="Q21" s="23" t="str"/>
      <x:c r="R21" s="23" t="str"/>
      <x:c r="S21" s="23" t="str"/>
      <x:c r="T21" s="3" t="n">
        <x:v>7</x:v>
      </x:c>
      <x:c r="U21" s="3" t="n">
        <x:v>25</x:v>
      </x:c>
      <x:c r="V21" s="3" t="str">
        <x:v>NADPH</x:v>
      </x:c>
      <x:c r="W21" s="3" t="str">
        <x:v>reported_catalytic_efficiency</x:v>
      </x:c>
      <x:c r="X21" s="3" t="str">
        <x:v>ND_not_zero</x:v>
      </x:c>
      <x:c r="Y21" s="3" t="str"/>
      <x:c r="Z21" s="3" t="str"/>
      <x:c r="AA21" s="3" t="str">
        <x:v>4RF2</x:v>
      </x:c>
      <x:c r="AB21" s="3" t="str">
        <x:v>PNAS2015</x:v>
      </x:c>
      <x:c r="AC21" s="3" t="str">
        <x:v>https://pmc.ncbi.nlm.nih.gov/articles/PMC4697376/</x:v>
      </x:c>
      <x:c r="AD21" s="3" t="str">
        <x:v>Table 1</x:v>
      </x:c>
      <x:c r="AE21" s="3" t="str">
        <x:v>No experimentally resolved assayed ketone in public PDB structures</x:v>
      </x:c>
    </x:row>
    <x:row r="22" ht="64" customHeight="1">
      <x:c r="A22" s="3" t="str">
        <x:v>PNAS2015_E145S_1</x:v>
      </x:c>
      <x:c r="B22" s="3" t="str">
        <x:v>LkKRED</x:v>
      </x:c>
      <x:c r="C22" s="3" t="str">
        <x:v>E145S</x:v>
      </x:c>
      <x:c r="D22" s="3" t="str">
        <x:v>3-oxacyclopentanone</x:v>
      </x:c>
      <x:c r="E22" s="3" t="str">
        <x:v>measured_numeric</x:v>
      </x:c>
      <x:c r="F22" s="16" t="str"/>
      <x:c r="G22" s="3" t="str"/>
      <x:c r="H22" s="16" t="str"/>
      <x:c r="I22" s="16" t="str"/>
      <x:c r="J22" s="3" t="str"/>
      <x:c r="K22" s="3" t="str"/>
      <x:c r="L22" s="16" t="str"/>
      <x:c r="M22" s="16" t="n">
        <x:v>0.003</x:v>
      </x:c>
      <x:c r="N22" s="3" t="str">
        <x:v>mM^-1 min^-1</x:v>
      </x:c>
      <x:c r="O22" s="16" t="str"/>
      <x:c r="P22" s="17" t="str"/>
      <x:c r="Q22" s="17" t="str"/>
      <x:c r="R22" s="17" t="n">
        <x:f>M22*1000/60</x:f>
        <x:v>0.05</x:v>
      </x:c>
      <x:c r="S22" s="17" t="str"/>
      <x:c r="T22" s="3" t="n">
        <x:v>7</x:v>
      </x:c>
      <x:c r="U22" s="3" t="n">
        <x:v>25</x:v>
      </x:c>
      <x:c r="V22" s="3" t="str">
        <x:v>NADPH</x:v>
      </x:c>
      <x:c r="W22" s="3" t="str">
        <x:v>reported_catalytic_efficiency</x:v>
      </x:c>
      <x:c r="X22" s="3" t="str">
        <x:v>within_assay_efficiency_ranking</x:v>
      </x:c>
      <x:c r="Y22" s="3" t="str"/>
      <x:c r="Z22" s="3" t="str">
        <x:v>4RF5</x:v>
      </x:c>
      <x:c r="AA22" s="3" t="str"/>
      <x:c r="AB22" s="3" t="str">
        <x:v>PNAS2015</x:v>
      </x:c>
      <x:c r="AC22" s="3" t="str">
        <x:v>https://pmc.ncbi.nlm.nih.gov/articles/PMC4697376/</x:v>
      </x:c>
      <x:c r="AD22" s="3" t="str">
        <x:v>Table 1</x:v>
      </x:c>
      <x:c r="AE22" s="3" t="str">
        <x:v>No experimentally resolved assayed ketone in public PDB structures</x:v>
      </x:c>
    </x:row>
    <x:row r="23" ht="64" customHeight="1">
      <x:c r="A23" s="3" t="str">
        <x:v>PNAS2015_E145S_2</x:v>
      </x:c>
      <x:c r="B23" s="3" t="str">
        <x:v>LkKRED</x:v>
      </x:c>
      <x:c r="C23" s="3" t="str">
        <x:v>E145S</x:v>
      </x:c>
      <x:c r="D23" s="3" t="str">
        <x:v>3-thiacyclopentanone</x:v>
      </x:c>
      <x:c r="E23" s="3" t="str">
        <x:v>measured_numeric</x:v>
      </x:c>
      <x:c r="F23" s="16" t="str"/>
      <x:c r="G23" s="3" t="str"/>
      <x:c r="H23" s="16" t="str"/>
      <x:c r="I23" s="16" t="str"/>
      <x:c r="J23" s="3" t="str"/>
      <x:c r="K23" s="3" t="str"/>
      <x:c r="L23" s="16" t="str"/>
      <x:c r="M23" s="16" t="n">
        <x:v>0.772</x:v>
      </x:c>
      <x:c r="N23" s="3" t="str">
        <x:v>mM^-1 min^-1</x:v>
      </x:c>
      <x:c r="O23" s="16" t="str"/>
      <x:c r="P23" s="17" t="str"/>
      <x:c r="Q23" s="17" t="str"/>
      <x:c r="R23" s="17" t="n">
        <x:f>M23*1000/60</x:f>
        <x:v>12.866666666666667</x:v>
      </x:c>
      <x:c r="S23" s="17" t="str"/>
      <x:c r="T23" s="3" t="n">
        <x:v>7</x:v>
      </x:c>
      <x:c r="U23" s="3" t="n">
        <x:v>25</x:v>
      </x:c>
      <x:c r="V23" s="3" t="str">
        <x:v>NADPH</x:v>
      </x:c>
      <x:c r="W23" s="3" t="str">
        <x:v>reported_catalytic_efficiency</x:v>
      </x:c>
      <x:c r="X23" s="3" t="str">
        <x:v>within_assay_efficiency_ranking</x:v>
      </x:c>
      <x:c r="Y23" s="3" t="str"/>
      <x:c r="Z23" s="3" t="str">
        <x:v>4RF5</x:v>
      </x:c>
      <x:c r="AA23" s="3" t="str"/>
      <x:c r="AB23" s="3" t="str">
        <x:v>PNAS2015</x:v>
      </x:c>
      <x:c r="AC23" s="3" t="str">
        <x:v>https://pmc.ncbi.nlm.nih.gov/articles/PMC4697376/</x:v>
      </x:c>
      <x:c r="AD23" s="3" t="str">
        <x:v>Table 1</x:v>
      </x:c>
      <x:c r="AE23" s="3" t="str">
        <x:v>No experimentally resolved assayed ketone in public PDB structures</x:v>
      </x:c>
    </x:row>
    <x:row r="24" ht="64" customHeight="1">
      <x:c r="A24" s="3" t="str">
        <x:v>PNAS2015_Sph_1</x:v>
      </x:c>
      <x:c r="B24" s="3" t="str">
        <x:v>LkKRED</x:v>
      </x:c>
      <x:c r="C24" s="3" t="str">
        <x:v>Sph</x:v>
      </x:c>
      <x:c r="D24" s="3" t="str">
        <x:v>3-oxacyclopentanone</x:v>
      </x:c>
      <x:c r="E24" s="3" t="str">
        <x:v>measured_numeric</x:v>
      </x:c>
      <x:c r="F24" s="16" t="str"/>
      <x:c r="G24" s="3" t="str"/>
      <x:c r="H24" s="16" t="str"/>
      <x:c r="I24" s="16" t="str"/>
      <x:c r="J24" s="3" t="str"/>
      <x:c r="K24" s="3" t="str"/>
      <x:c r="L24" s="16" t="str"/>
      <x:c r="M24" s="16" t="n">
        <x:v>0.004</x:v>
      </x:c>
      <x:c r="N24" s="3" t="str">
        <x:v>mM^-1 min^-1</x:v>
      </x:c>
      <x:c r="O24" s="16" t="str"/>
      <x:c r="P24" s="17" t="str"/>
      <x:c r="Q24" s="17" t="str"/>
      <x:c r="R24" s="17" t="n">
        <x:f>M24*1000/60</x:f>
        <x:v>0.06666666666666667</x:v>
      </x:c>
      <x:c r="S24" s="17" t="str"/>
      <x:c r="T24" s="3" t="n">
        <x:v>7</x:v>
      </x:c>
      <x:c r="U24" s="3" t="n">
        <x:v>25</x:v>
      </x:c>
      <x:c r="V24" s="3" t="str">
        <x:v>NADPH</x:v>
      </x:c>
      <x:c r="W24" s="3" t="str">
        <x:v>reported_catalytic_efficiency</x:v>
      </x:c>
      <x:c r="X24" s="3" t="str">
        <x:v>within_assay_efficiency_ranking</x:v>
      </x:c>
      <x:c r="Y24" s="3" t="str"/>
      <x:c r="Z24" s="3" t="str"/>
      <x:c r="AA24" s="3" t="str">
        <x:v>4RF2</x:v>
      </x:c>
      <x:c r="AB24" s="3" t="str">
        <x:v>PNAS2015</x:v>
      </x:c>
      <x:c r="AC24" s="3" t="str">
        <x:v>https://pmc.ncbi.nlm.nih.gov/articles/PMC4697376/</x:v>
      </x:c>
      <x:c r="AD24" s="3" t="str">
        <x:v>Table 1</x:v>
      </x:c>
      <x:c r="AE24" s="3" t="str">
        <x:v>No experimentally resolved assayed ketone in public PDB structures; Apo Sph described in paper; no public PDB accession established</x:v>
      </x:c>
    </x:row>
    <x:row r="25" ht="64" customHeight="1">
      <x:c r="A25" s="3" t="str">
        <x:v>PNAS2015_Sph_2</x:v>
      </x:c>
      <x:c r="B25" s="3" t="str">
        <x:v>LkKRED</x:v>
      </x:c>
      <x:c r="C25" s="3" t="str">
        <x:v>Sph</x:v>
      </x:c>
      <x:c r="D25" s="3" t="str">
        <x:v>3-thiacyclopentanone</x:v>
      </x:c>
      <x:c r="E25" s="3" t="str">
        <x:v>measured_numeric</x:v>
      </x:c>
      <x:c r="F25" s="16" t="str"/>
      <x:c r="G25" s="3" t="str"/>
      <x:c r="H25" s="16" t="str"/>
      <x:c r="I25" s="16" t="str"/>
      <x:c r="J25" s="3" t="str"/>
      <x:c r="K25" s="3" t="str"/>
      <x:c r="L25" s="16" t="str"/>
      <x:c r="M25" s="16" t="n">
        <x:v>0.703</x:v>
      </x:c>
      <x:c r="N25" s="3" t="str">
        <x:v>mM^-1 min^-1</x:v>
      </x:c>
      <x:c r="O25" s="16" t="str"/>
      <x:c r="P25" s="17" t="str"/>
      <x:c r="Q25" s="17" t="str"/>
      <x:c r="R25" s="17" t="n">
        <x:f>M25*1000/60</x:f>
        <x:v>11.716666666666667</x:v>
      </x:c>
      <x:c r="S25" s="17" t="str"/>
      <x:c r="T25" s="3" t="n">
        <x:v>7</x:v>
      </x:c>
      <x:c r="U25" s="3" t="n">
        <x:v>25</x:v>
      </x:c>
      <x:c r="V25" s="3" t="str">
        <x:v>NADPH</x:v>
      </x:c>
      <x:c r="W25" s="3" t="str">
        <x:v>reported_catalytic_efficiency</x:v>
      </x:c>
      <x:c r="X25" s="3" t="str">
        <x:v>within_assay_efficiency_ranking</x:v>
      </x:c>
      <x:c r="Y25" s="3" t="str"/>
      <x:c r="Z25" s="3" t="str"/>
      <x:c r="AA25" s="3" t="str">
        <x:v>4RF2</x:v>
      </x:c>
      <x:c r="AB25" s="3" t="str">
        <x:v>PNAS2015</x:v>
      </x:c>
      <x:c r="AC25" s="3" t="str">
        <x:v>https://pmc.ncbi.nlm.nih.gov/articles/PMC4697376/</x:v>
      </x:c>
      <x:c r="AD25" s="3" t="str">
        <x:v>Table 1</x:v>
      </x:c>
      <x:c r="AE25" s="3" t="str">
        <x:v>No experimentally resolved assayed ketone in public PDB structures; Apo Sph described in paper; no public PDB accession established</x:v>
      </x:c>
    </x:row>
    <x:row r="26" ht="64" customHeight="1">
      <x:c r="A26" s="3" t="str">
        <x:v>Ssal2024_WT_1a</x:v>
      </x:c>
      <x:c r="B26" s="3" t="str">
        <x:v>Ssal-KRED</x:v>
      </x:c>
      <x:c r="C26" s="3" t="str">
        <x:v>WT</x:v>
      </x:c>
      <x:c r="D26" s="3" t="str">
        <x:v>prochiral ketone precursor to ipatasertib alcohol intermediate</x:v>
      </x:c>
      <x:c r="E26" s="3" t="str">
        <x:v>measured_apparent_numeric</x:v>
      </x:c>
      <x:c r="F26" s="16" t="n">
        <x:v>0.49</x:v>
      </x:c>
      <x:c r="G26" s="3" t="str">
        <x:v>min^-1</x:v>
      </x:c>
      <x:c r="H26" s="16" t="n">
        <x:v>0.02</x:v>
      </x:c>
      <x:c r="I26" s="16" t="n">
        <x:v>11.9</x:v>
      </x:c>
      <x:c r="J26" s="3" t="str">
        <x:v>uM</x:v>
      </x:c>
      <x:c r="K26" s="3" t="str">
        <x:v>eq</x:v>
      </x:c>
      <x:c r="L26" s="16" t="n">
        <x:v>1.1</x:v>
      </x:c>
      <x:c r="M26" s="16" t="n">
        <x:v>41</x:v>
      </x:c>
      <x:c r="N26" s="3" t="str">
        <x:v>min^-1 mM^-1</x:v>
      </x:c>
      <x:c r="O26" s="16" t="str"/>
      <x:c r="P26" s="17" t="n">
        <x:f>F26/60</x:f>
        <x:v>0.008166666666666666</x:v>
      </x:c>
      <x:c r="Q26" s="17" t="n">
        <x:f>I26/1000000</x:f>
        <x:v>0.0000119</x:v>
      </x:c>
      <x:c r="R26" s="17" t="n">
        <x:f>M26*1000/60</x:f>
        <x:v>683.3333333333334</x:v>
      </x:c>
      <x:c r="S26" s="17" t="n">
        <x:f>P26/Q26</x:f>
        <x:v>686.2745098039215</x:v>
      </x:c>
      <x:c r="T26" s="3" t="n">
        <x:v>7</x:v>
      </x:c>
      <x:c r="U26" s="3" t="n">
        <x:v>25</x:v>
      </x:c>
      <x:c r="V26" s="3" t="str">
        <x:v>NADP+ / iPrOH regeneration</x:v>
      </x:c>
      <x:c r="W26" s="3" t="str">
        <x:v>apparent Michaelis-Menten parameters with iPrOH as sacrificial cofactor-regeneration substrate</x:v>
      </x:c>
      <x:c r="X26" s="3" t="str">
        <x:v>within_assay_apparent_kinetic_ranking</x:v>
      </x:c>
      <x:c r="Y26" s="3" t="str"/>
      <x:c r="Z26" s="3" t="str">
        <x:v>1Y1P</x:v>
      </x:c>
      <x:c r="AA26" s="3" t="str">
        <x:v>1Y1P</x:v>
      </x:c>
      <x:c r="AB26" s="3" t="str">
        <x:v>Ssal2024</x:v>
      </x:c>
      <x:c r="AC26" s="3" t="str">
        <x:v>https://pmc.ncbi.nlm.nih.gov/articles/PMC10902378/</x:v>
      </x:c>
      <x:c r="AD26" s="3" t="str">
        <x:v>Main Table 2; SI section 1.11/p7, Figure 19/p26; Supplementary Data 6</x:v>
      </x:c>
      <x:c r="AE26" s="3" t="str">
        <x:v>Assayed substrate 1a pose is modeled; 1Y1P is WT template; Reported enzyme sequence excludes vector tag. WT matches the 1Y1P core after initial Met removal; M1-M6 additionally retain their documented substitutions.</x:v>
      </x:c>
    </x:row>
    <x:row r="27" ht="64" customHeight="1">
      <x:c r="A27" s="3" t="str">
        <x:v>Ssal2024_M1_1a</x:v>
      </x:c>
      <x:c r="B27" s="3" t="str">
        <x:v>Ssal-KRED</x:v>
      </x:c>
      <x:c r="C27" s="3" t="str">
        <x:v>M1</x:v>
      </x:c>
      <x:c r="D27" s="3" t="str">
        <x:v>prochiral ketone precursor to ipatasertib alcohol intermediate</x:v>
      </x:c>
      <x:c r="E27" s="3" t="str">
        <x:v>measured_apparent_numeric</x:v>
      </x:c>
      <x:c r="F27" s="16" t="n">
        <x:v>5.8</x:v>
      </x:c>
      <x:c r="G27" s="3" t="str">
        <x:v>min^-1</x:v>
      </x:c>
      <x:c r="H27" s="16" t="n">
        <x:v>0.1</x:v>
      </x:c>
      <x:c r="I27" s="16" t="n">
        <x:v>162.8</x:v>
      </x:c>
      <x:c r="J27" s="3" t="str">
        <x:v>uM</x:v>
      </x:c>
      <x:c r="K27" s="3" t="str">
        <x:v>eq</x:v>
      </x:c>
      <x:c r="L27" s="16" t="n">
        <x:v>7.8</x:v>
      </x:c>
      <x:c r="M27" s="16" t="n">
        <x:v>35.5</x:v>
      </x:c>
      <x:c r="N27" s="3" t="str">
        <x:v>min^-1 mM^-1</x:v>
      </x:c>
      <x:c r="O27" s="16" t="str"/>
      <x:c r="P27" s="17" t="n">
        <x:f>F27/60</x:f>
        <x:v>0.09666666666666666</x:v>
      </x:c>
      <x:c r="Q27" s="17" t="n">
        <x:f>I27/1000000</x:f>
        <x:v>0.0001628</x:v>
      </x:c>
      <x:c r="R27" s="17" t="n">
        <x:f>M27*1000/60</x:f>
        <x:v>591.6666666666666</x:v>
      </x:c>
      <x:c r="S27" s="17" t="n">
        <x:f>P27/Q27</x:f>
        <x:v>593.7755937755937</x:v>
      </x:c>
      <x:c r="T27" s="3" t="n">
        <x:v>7</x:v>
      </x:c>
      <x:c r="U27" s="3" t="n">
        <x:v>25</x:v>
      </x:c>
      <x:c r="V27" s="3" t="str">
        <x:v>NADP+ / iPrOH regeneration</x:v>
      </x:c>
      <x:c r="W27" s="3" t="str">
        <x:v>apparent Michaelis-Menten parameters with iPrOH as sacrificial cofactor-regeneration substrate</x:v>
      </x:c>
      <x:c r="X27" s="3" t="str">
        <x:v>within_assay_apparent_kinetic_ranking</x:v>
      </x:c>
      <x:c r="Y27" s="3" t="str"/>
      <x:c r="Z27" s="3" t="str"/>
      <x:c r="AA27" s="3" t="str">
        <x:v>1Y1P</x:v>
      </x:c>
      <x:c r="AB27" s="3" t="str">
        <x:v>Ssal2024</x:v>
      </x:c>
      <x:c r="AC27" s="3" t="str">
        <x:v>https://pmc.ncbi.nlm.nih.gov/articles/PMC10902378/</x:v>
      </x:c>
      <x:c r="AD27" s="3" t="str">
        <x:v>Main Table 2; SI section 1.11/p7, Figure 19/p26; Supplementary Data 6</x:v>
      </x:c>
      <x:c r="AE27" s="3" t="str">
        <x:v>Assayed substrate 1a pose is modeled; 1Y1P is WT template; Reported enzyme sequence excludes vector tag. WT matches the 1Y1P core after initial Met removal; M1-M6 additionally retain their documented substitutions.</x:v>
      </x:c>
    </x:row>
    <x:row r="28" ht="64" customHeight="1">
      <x:c r="A28" s="3" t="str">
        <x:v>Ssal2024_M2_1a</x:v>
      </x:c>
      <x:c r="B28" s="3" t="str">
        <x:v>Ssal-KRED</x:v>
      </x:c>
      <x:c r="C28" s="3" t="str">
        <x:v>M2</x:v>
      </x:c>
      <x:c r="D28" s="3" t="str">
        <x:v>prochiral ketone precursor to ipatasertib alcohol intermediate</x:v>
      </x:c>
      <x:c r="E28" s="3" t="str">
        <x:v>measured_apparent_numeric</x:v>
      </x:c>
      <x:c r="F28" s="16" t="n">
        <x:v>6.2</x:v>
      </x:c>
      <x:c r="G28" s="3" t="str">
        <x:v>min^-1</x:v>
      </x:c>
      <x:c r="H28" s="16" t="n">
        <x:v>0.2</x:v>
      </x:c>
      <x:c r="I28" s="16" t="n">
        <x:v>175.2</x:v>
      </x:c>
      <x:c r="J28" s="3" t="str">
        <x:v>uM</x:v>
      </x:c>
      <x:c r="K28" s="3" t="str">
        <x:v>eq</x:v>
      </x:c>
      <x:c r="L28" s="16" t="n">
        <x:v>9.9</x:v>
      </x:c>
      <x:c r="M28" s="16" t="n">
        <x:v>35.6</x:v>
      </x:c>
      <x:c r="N28" s="3" t="str">
        <x:v>min^-1 mM^-1</x:v>
      </x:c>
      <x:c r="O28" s="16" t="str"/>
      <x:c r="P28" s="17" t="n">
        <x:f>F28/60</x:f>
        <x:v>0.10333333333333333</x:v>
      </x:c>
      <x:c r="Q28" s="17" t="n">
        <x:f>I28/1000000</x:f>
        <x:v>0.00017519999999999998</x:v>
      </x:c>
      <x:c r="R28" s="17" t="n">
        <x:f>M28*1000/60</x:f>
        <x:v>593.3333333333334</x:v>
      </x:c>
      <x:c r="S28" s="17" t="n">
        <x:f>P28/Q28</x:f>
        <x:v>589.8021308980213</x:v>
      </x:c>
      <x:c r="T28" s="3" t="n">
        <x:v>7</x:v>
      </x:c>
      <x:c r="U28" s="3" t="n">
        <x:v>25</x:v>
      </x:c>
      <x:c r="V28" s="3" t="str">
        <x:v>NADP+ / iPrOH regeneration</x:v>
      </x:c>
      <x:c r="W28" s="3" t="str">
        <x:v>apparent Michaelis-Menten parameters with iPrOH as sacrificial cofactor-regeneration substrate</x:v>
      </x:c>
      <x:c r="X28" s="3" t="str">
        <x:v>within_assay_apparent_kinetic_ranking</x:v>
      </x:c>
      <x:c r="Y28" s="3" t="str"/>
      <x:c r="Z28" s="3" t="str"/>
      <x:c r="AA28" s="3" t="str">
        <x:v>1Y1P</x:v>
      </x:c>
      <x:c r="AB28" s="3" t="str">
        <x:v>Ssal2024</x:v>
      </x:c>
      <x:c r="AC28" s="3" t="str">
        <x:v>https://pmc.ncbi.nlm.nih.gov/articles/PMC10902378/</x:v>
      </x:c>
      <x:c r="AD28" s="3" t="str">
        <x:v>Main Table 2; SI section 1.11/p7, Figure 19/p26; Supplementary Data 6</x:v>
      </x:c>
      <x:c r="AE28" s="3" t="str">
        <x:v>Assayed substrate 1a pose is modeled; 1Y1P is WT template; Reported enzyme sequence excludes vector tag. WT matches the 1Y1P core after initial Met removal; M1-M6 additionally retain their documented substitutions.; SI Fig19 caption says triplicate, whereas raw Supplementary Data6 has four replicate columns for this variant; retained without guessing which were fitted.</x:v>
      </x:c>
    </x:row>
    <x:row r="29" ht="64" customHeight="1">
      <x:c r="A29" s="3" t="str">
        <x:v>Ssal2024_M3_1a</x:v>
      </x:c>
      <x:c r="B29" s="3" t="str">
        <x:v>Ssal-KRED</x:v>
      </x:c>
      <x:c r="C29" s="3" t="str">
        <x:v>M3</x:v>
      </x:c>
      <x:c r="D29" s="3" t="str">
        <x:v>prochiral ketone precursor to ipatasertib alcohol intermediate</x:v>
      </x:c>
      <x:c r="E29" s="3" t="str">
        <x:v>measured_apparent_numeric</x:v>
      </x:c>
      <x:c r="F29" s="16" t="n">
        <x:v>15.3</x:v>
      </x:c>
      <x:c r="G29" s="3" t="str">
        <x:v>min^-1</x:v>
      </x:c>
      <x:c r="H29" s="16" t="n">
        <x:v>0.4</x:v>
      </x:c>
      <x:c r="I29" s="16" t="n">
        <x:v>299.7</x:v>
      </x:c>
      <x:c r="J29" s="3" t="str">
        <x:v>uM</x:v>
      </x:c>
      <x:c r="K29" s="3" t="str">
        <x:v>eq</x:v>
      </x:c>
      <x:c r="L29" s="16" t="n">
        <x:v>7.9</x:v>
      </x:c>
      <x:c r="M29" s="16" t="n">
        <x:v>51.2</x:v>
      </x:c>
      <x:c r="N29" s="3" t="str">
        <x:v>min^-1 mM^-1</x:v>
      </x:c>
      <x:c r="O29" s="16" t="str"/>
      <x:c r="P29" s="17" t="n">
        <x:f>F29/60</x:f>
        <x:v>0.255</x:v>
      </x:c>
      <x:c r="Q29" s="17" t="n">
        <x:f>I29/1000000</x:f>
        <x:v>0.00029969999999999997</x:v>
      </x:c>
      <x:c r="R29" s="17" t="n">
        <x:f>M29*1000/60</x:f>
        <x:v>853.3333333333334</x:v>
      </x:c>
      <x:c r="S29" s="17" t="n">
        <x:f>P29/Q29</x:f>
        <x:v>850.850850850851</x:v>
      </x:c>
      <x:c r="T29" s="3" t="n">
        <x:v>7</x:v>
      </x:c>
      <x:c r="U29" s="3" t="n">
        <x:v>25</x:v>
      </x:c>
      <x:c r="V29" s="3" t="str">
        <x:v>NADP+ / iPrOH regeneration</x:v>
      </x:c>
      <x:c r="W29" s="3" t="str">
        <x:v>apparent Michaelis-Menten parameters with iPrOH as sacrificial cofactor-regeneration substrate</x:v>
      </x:c>
      <x:c r="X29" s="3" t="str">
        <x:v>within_assay_apparent_kinetic_ranking</x:v>
      </x:c>
      <x:c r="Y29" s="3" t="str"/>
      <x:c r="Z29" s="3" t="str"/>
      <x:c r="AA29" s="3" t="str">
        <x:v>1Y1P</x:v>
      </x:c>
      <x:c r="AB29" s="3" t="str">
        <x:v>Ssal2024</x:v>
      </x:c>
      <x:c r="AC29" s="3" t="str">
        <x:v>https://pmc.ncbi.nlm.nih.gov/articles/PMC10902378/</x:v>
      </x:c>
      <x:c r="AD29" s="3" t="str">
        <x:v>Main Table 2; SI section 1.11/p7, Figure 19/p26; Supplementary Data 6</x:v>
      </x:c>
      <x:c r="AE29" s="3" t="str">
        <x:v>Assayed substrate 1a pose is modeled; 1Y1P is WT template; Reported enzyme sequence excludes vector tag. WT matches the 1Y1P core after initial Met removal; M1-M6 additionally retain their documented substitutions.</x:v>
      </x:c>
    </x:row>
    <x:row r="30" ht="64" customHeight="1">
      <x:c r="A30" s="3" t="str">
        <x:v>Ssal2024_M4_1a</x:v>
      </x:c>
      <x:c r="B30" s="3" t="str">
        <x:v>Ssal-KRED</x:v>
      </x:c>
      <x:c r="C30" s="3" t="str">
        <x:v>M4</x:v>
      </x:c>
      <x:c r="D30" s="3" t="str">
        <x:v>prochiral ketone precursor to ipatasertib alcohol intermediate</x:v>
      </x:c>
      <x:c r="E30" s="11" t="str">
        <x:v>measured_apparent_numeric</x:v>
      </x:c>
      <x:c r="F30" s="19" t="n">
        <x:v>45.8</x:v>
      </x:c>
      <x:c r="G30" s="11" t="str">
        <x:v>min^-1</x:v>
      </x:c>
      <x:c r="H30" s="19" t="n">
        <x:v>2.4</x:v>
      </x:c>
      <x:c r="I30" s="19" t="n">
        <x:v>1668</x:v>
      </x:c>
      <x:c r="J30" s="11" t="str">
        <x:v>uM</x:v>
      </x:c>
      <x:c r="K30" s="11" t="str">
        <x:v>eq</x:v>
      </x:c>
      <x:c r="L30" s="19" t="n">
        <x:v>103</x:v>
      </x:c>
      <x:c r="M30" s="19" t="n">
        <x:v>27.5</x:v>
      </x:c>
      <x:c r="N30" s="11" t="str">
        <x:v>min^-1 mM^-1</x:v>
      </x:c>
      <x:c r="O30" s="19" t="str"/>
      <x:c r="P30" s="20" t="n">
        <x:f>F30/60</x:f>
        <x:v>0.7633333333333333</x:v>
      </x:c>
      <x:c r="Q30" s="20" t="n">
        <x:f>I30/1000000</x:f>
        <x:v>0.001668</x:v>
      </x:c>
      <x:c r="R30" s="20" t="n">
        <x:f>M30*1000/60</x:f>
        <x:v>458.3333333333333</x:v>
      </x:c>
      <x:c r="S30" s="20" t="n">
        <x:f>P30/Q30</x:f>
        <x:v>457.6338928856914</x:v>
      </x:c>
      <x:c r="T30" s="3" t="n">
        <x:v>7</x:v>
      </x:c>
      <x:c r="U30" s="3" t="n">
        <x:v>25</x:v>
      </x:c>
      <x:c r="V30" s="3" t="str">
        <x:v>NADP+ / iPrOH regeneration</x:v>
      </x:c>
      <x:c r="W30" s="3" t="str">
        <x:v>apparent Michaelis-Menten parameters with iPrOH as sacrificial cofactor-regeneration substrate</x:v>
      </x:c>
      <x:c r="X30" s="3" t="str">
        <x:v>sensitivity_only_unsaturated</x:v>
      </x:c>
      <x:c r="Y30" s="3" t="str"/>
      <x:c r="Z30" s="3" t="str"/>
      <x:c r="AA30" s="3" t="str">
        <x:v>1Y1P</x:v>
      </x:c>
      <x:c r="AB30" s="3" t="str">
        <x:v>Ssal2024</x:v>
      </x:c>
      <x:c r="AC30" s="3" t="str">
        <x:v>https://pmc.ncbi.nlm.nih.gov/articles/PMC10902378/</x:v>
      </x:c>
      <x:c r="AD30" s="3" t="str">
        <x:v>Main Table 2; SI section 1.11/p7, Figure 19/p26; Supplementary Data 6</x:v>
      </x:c>
      <x:c r="AE30" s="3" t="str">
        <x:v>Assayed substrate 1a pose is modeled; 1Y1P is WT template; Reported enzyme sequence excludes vector tag. WT matches the 1Y1P core after initial Met removal; M1-M6 additionally retain their documented substitutions.; Table 2 footnote a: substrate saturation was not reached. Apparent KM and kcat are extrapolative/poorly constrained; separate from robust calibration core.</x:v>
      </x:c>
    </x:row>
    <x:row r="31" ht="64" customHeight="1">
      <x:c r="A31" s="3" t="str">
        <x:v>Ssal2024_M5_1a</x:v>
      </x:c>
      <x:c r="B31" s="3" t="str">
        <x:v>Ssal-KRED</x:v>
      </x:c>
      <x:c r="C31" s="3" t="str">
        <x:v>M5</x:v>
      </x:c>
      <x:c r="D31" s="3" t="str">
        <x:v>prochiral ketone precursor to ipatasertib alcohol intermediate</x:v>
      </x:c>
      <x:c r="E31" s="3" t="str">
        <x:v>measured_apparent_numeric</x:v>
      </x:c>
      <x:c r="F31" s="16" t="n">
        <x:v>21.3</x:v>
      </x:c>
      <x:c r="G31" s="3" t="str">
        <x:v>min^-1</x:v>
      </x:c>
      <x:c r="H31" s="16" t="n">
        <x:v>1</x:v>
      </x:c>
      <x:c r="I31" s="16" t="n">
        <x:v>471.7</x:v>
      </x:c>
      <x:c r="J31" s="3" t="str">
        <x:v>uM</x:v>
      </x:c>
      <x:c r="K31" s="3" t="str">
        <x:v>eq</x:v>
      </x:c>
      <x:c r="L31" s="16" t="n">
        <x:v>34.6</x:v>
      </x:c>
      <x:c r="M31" s="16" t="n">
        <x:v>45.2</x:v>
      </x:c>
      <x:c r="N31" s="3" t="str">
        <x:v>min^-1 mM^-1</x:v>
      </x:c>
      <x:c r="O31" s="16" t="str"/>
      <x:c r="P31" s="17" t="n">
        <x:f>F31/60</x:f>
        <x:v>0.35500000000000004</x:v>
      </x:c>
      <x:c r="Q31" s="17" t="n">
        <x:f>I31/1000000</x:f>
        <x:v>0.0004717</x:v>
      </x:c>
      <x:c r="R31" s="17" t="n">
        <x:f>M31*1000/60</x:f>
        <x:v>753.3333333333334</x:v>
      </x:c>
      <x:c r="S31" s="17" t="n">
        <x:f>P31/Q31</x:f>
        <x:v>752.5969896120416</x:v>
      </x:c>
      <x:c r="T31" s="3" t="n">
        <x:v>7</x:v>
      </x:c>
      <x:c r="U31" s="3" t="n">
        <x:v>25</x:v>
      </x:c>
      <x:c r="V31" s="3" t="str">
        <x:v>NADP+ / iPrOH regeneration</x:v>
      </x:c>
      <x:c r="W31" s="3" t="str">
        <x:v>apparent Michaelis-Menten parameters with iPrOH as sacrificial cofactor-regeneration substrate</x:v>
      </x:c>
      <x:c r="X31" s="3" t="str">
        <x:v>within_assay_apparent_kinetic_ranking</x:v>
      </x:c>
      <x:c r="Y31" s="3" t="str"/>
      <x:c r="Z31" s="3" t="str"/>
      <x:c r="AA31" s="3" t="str">
        <x:v>1Y1P</x:v>
      </x:c>
      <x:c r="AB31" s="3" t="str">
        <x:v>Ssal2024</x:v>
      </x:c>
      <x:c r="AC31" s="3" t="str">
        <x:v>https://pmc.ncbi.nlm.nih.gov/articles/PMC10902378/</x:v>
      </x:c>
      <x:c r="AD31" s="3" t="str">
        <x:v>Main Table 2; SI section 1.11/p7, Figure 19/p26; Supplementary Data 6</x:v>
      </x:c>
      <x:c r="AE31" s="3" t="str">
        <x:v>Assayed substrate 1a pose is modeled; 1Y1P is WT template; Reported enzyme sequence excludes vector tag. WT matches the 1Y1P core after initial Met removal; M1-M6 additionally retain their documented substitutions.; SI Fig19 caption says triplicate, whereas raw Supplementary Data6 has four replicate columns for this variant; retained without guessing which were fitted.</x:v>
      </x:c>
    </x:row>
    <x:row r="32" ht="64" customHeight="1">
      <x:c r="A32" s="3" t="str">
        <x:v>Ssal2024_M6_1a</x:v>
      </x:c>
      <x:c r="B32" s="3" t="str">
        <x:v>Ssal-KRED</x:v>
      </x:c>
      <x:c r="C32" s="3" t="str">
        <x:v>M6</x:v>
      </x:c>
      <x:c r="D32" s="3" t="str">
        <x:v>prochiral ketone precursor to ipatasertib alcohol intermediate</x:v>
      </x:c>
      <x:c r="E32" s="3" t="str">
        <x:v>measured_apparent_numeric</x:v>
      </x:c>
      <x:c r="F32" s="16" t="n">
        <x:v>31.5</x:v>
      </x:c>
      <x:c r="G32" s="3" t="str">
        <x:v>min^-1</x:v>
      </x:c>
      <x:c r="H32" s="16" t="n">
        <x:v>0.8</x:v>
      </x:c>
      <x:c r="I32" s="16" t="n">
        <x:v>143.5</x:v>
      </x:c>
      <x:c r="J32" s="3" t="str">
        <x:v>uM</x:v>
      </x:c>
      <x:c r="K32" s="3" t="str">
        <x:v>eq</x:v>
      </x:c>
      <x:c r="L32" s="16" t="n">
        <x:v>5.5</x:v>
      </x:c>
      <x:c r="M32" s="16" t="n">
        <x:v>219.7</x:v>
      </x:c>
      <x:c r="N32" s="3" t="str">
        <x:v>min^-1 mM^-1</x:v>
      </x:c>
      <x:c r="O32" s="16" t="str"/>
      <x:c r="P32" s="17" t="n">
        <x:f>F32/60</x:f>
        <x:v>0.525</x:v>
      </x:c>
      <x:c r="Q32" s="17" t="n">
        <x:f>I32/1000000</x:f>
        <x:v>0.0001435</x:v>
      </x:c>
      <x:c r="R32" s="17" t="n">
        <x:f>M32*1000/60</x:f>
        <x:v>3661.6666666666665</x:v>
      </x:c>
      <x:c r="S32" s="17" t="n">
        <x:f>P32/Q32</x:f>
        <x:v>3658.536585365854</x:v>
      </x:c>
      <x:c r="T32" s="3" t="n">
        <x:v>7</x:v>
      </x:c>
      <x:c r="U32" s="3" t="n">
        <x:v>25</x:v>
      </x:c>
      <x:c r="V32" s="3" t="str">
        <x:v>NADP+ / iPrOH regeneration</x:v>
      </x:c>
      <x:c r="W32" s="3" t="str">
        <x:v>apparent Michaelis-Menten parameters with iPrOH as sacrificial cofactor-regeneration substrate</x:v>
      </x:c>
      <x:c r="X32" s="3" t="str">
        <x:v>within_assay_apparent_kinetic_ranking</x:v>
      </x:c>
      <x:c r="Y32" s="3" t="str"/>
      <x:c r="Z32" s="3" t="str"/>
      <x:c r="AA32" s="3" t="str">
        <x:v>1Y1P</x:v>
      </x:c>
      <x:c r="AB32" s="3" t="str">
        <x:v>Ssal2024</x:v>
      </x:c>
      <x:c r="AC32" s="3" t="str">
        <x:v>https://pmc.ncbi.nlm.nih.gov/articles/PMC10902378/</x:v>
      </x:c>
      <x:c r="AD32" s="3" t="str">
        <x:v>Main Table 2; SI section 1.11/p7, Figure 19/p26; Supplementary Data 6</x:v>
      </x:c>
      <x:c r="AE32" s="3" t="str">
        <x:v>Assayed substrate 1a pose is modeled; 1Y1P is WT template; Reported enzyme sequence excludes vector tag. WT matches the 1Y1P core after initial Met removal; M1-M6 additionally retain their documented substitutions.; Internal source discrepancy retained: narrative kcat 31.5 +/- 0.08 min^-1 versus Table2 31.5 +/- 0.8 min^-1. SI Fig19 gives Vmax 3.153 +/- 0.081 uM min^-1 at E0=0.1 uM. Dividing both Vmax and its +/- term by E0 gives 31.53 +/- 0.81 min^-1, supporting Table2. A missing E0 normalization in the narrative uncertainty is a curator inference, not a published correction. Statistical uncertainty type remains unspecified.</x:v>
      </x:c>
    </x:row>
  </x:sheetData>
  <x:mergeCells>
    <x:mergeCell ref="A1:D1"/>
    <x:mergeCell ref="A2:G2"/>
  </x:mergeCells>
  <x:pageMargins left="0.7" right="0.7" top="0.75" bottom="0.75" header="0.3" footer="0.3"/>
  <x:tableParts count="1">
    <x:tablePart xmlns:r="http://schemas.openxmlformats.org/officeDocument/2006/relationships" r:id="R3e31676d066f4630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6" hidden="0" customWidth="1"/>
    <x:col min="2" max="2" width="9" hidden="0" customWidth="1"/>
    <x:col min="3" max="3" width="20" hidden="0" customWidth="1"/>
    <x:col min="4" max="4" width="29" hidden="0" customWidth="1"/>
    <x:col min="5" max="5" width="48" hidden="0" customWidth="1"/>
    <x:col min="6" max="6" width="52" hidden="0" customWidth="1"/>
    <x:col min="7" max="7" width="98" hidden="0" customWidth="1"/>
    <x:col min="8" max="8" width="66" hidden="0" customWidth="1"/>
  </x:cols>
  <x:sheetData>
    <x:row r="1" ht="38" customHeight="1">
      <x:c r="A1" s="5" t="str">
        <x:v>测定条件与来源范围</x:v>
      </x:c>
      <x:c r="B1" s="5"/>
      <x:c r="C1" s="5"/>
      <x:c r="D1" s="5"/>
      <x:c r="E1" s="5"/>
      <x:c r="F1" s="5"/>
      <x:c r="G1" s="5"/>
      <x:c r="H1" s="5"/>
    </x:row>
    <x:row r="2" ht="34" customHeight="1">
      <x:c r="A2" s="6" t="str">
        <x:v>完整浓度扫描、原始温度、重复列信息和辅酶Km保存在同包 data/assay_conditions.json，以label_id对应。</x:v>
      </x:c>
      <x:c r="B2" s="6"/>
      <x:c r="C2" s="6"/>
      <x:c r="D2" s="6"/>
      <x:c r="E2" s="6"/>
      <x:c r="F2" s="6"/>
      <x:c r="G2" s="6"/>
      <x:c r="H2" s="6"/>
    </x:row>
    <x:row r="3">
      <x:c r="A3" s="3"/>
      <x:c r="B3" s="3"/>
      <x:c r="C3" s="3"/>
      <x:c r="D3" s="3"/>
      <x:c r="E3" s="3"/>
      <x:c r="F3" s="3"/>
      <x:c r="G3" s="3"/>
      <x:c r="H3" s="3"/>
    </x:row>
    <x:row r="4" ht="40" customHeight="1">
      <x:c r="A4" s="8" t="str">
        <x:v>label_id</x:v>
      </x:c>
      <x:c r="B4" s="8" t="str">
        <x:v>pH</x:v>
      </x:c>
      <x:c r="C4" s="8" t="str">
        <x:v>temperature_C_nominal</x:v>
      </x:c>
      <x:c r="D4" s="8" t="str">
        <x:v>cofactor</x:v>
      </x:c>
      <x:c r="E4" s="8" t="str">
        <x:v>buffer</x:v>
      </x:c>
      <x:c r="F4" s="8" t="str">
        <x:v>readout</x:v>
      </x:c>
      <x:c r="G4" s="8" t="str">
        <x:v>protocol_summary</x:v>
      </x:c>
      <x:c r="H4" s="8" t="str">
        <x:v>source_url</x:v>
      </x:c>
    </x:row>
    <x:row r="5" ht="88" customHeight="1">
      <x:c r="A5" s="3" t="str">
        <x:v>6ZZO_PaHBDH_AAE</x:v>
      </x:c>
      <x:c r="B5" s="3" t="n">
        <x:v>7</x:v>
      </x:c>
      <x:c r="C5" s="3" t="n">
        <x:v>10</x:v>
      </x:c>
      <x:c r="D5" s="3" t="str">
        <x:v>NADH</x:v>
      </x:c>
      <x:c r="E5" s="3" t="str">
        <x:v>100 mM HEPES, pH 7.0</x:v>
      </x:c>
      <x:c r="F5" s="3" t="str">
        <x:v>Initial rates from loss of NADH absorbance at 340, 370, or 380 nm; epsilon respectively 6220, 2320, or 1210 M^-1 cm^-1; 1 cm quartz cuvette, Shimadzu UV2600. SI does not map each temperature row to a specific wavelength.</x:v>
      </x:c>
      <x:c r="G5" s="3" t="str">
        <x:v>500 µL; 100 mM HEPES pH7; 3 min pre-equilibration; initiate with NADH; 2018 SI temperature 283 K (2020 nominal 10°C). At least duplicate; parameter error = fitting error. Full substrate/cofactor ranges in JSON.</x:v>
      </x:c>
      <x:c r="H5" s="3" t="str">
        <x:v>https://doi.org/10.1021/acs.biochem.8b01099.s001</x:v>
      </x:c>
    </x:row>
    <x:row r="6" ht="88" customHeight="1">
      <x:c r="A6" s="3" t="str">
        <x:v>6ZZP_PaHBDH_QT8</x:v>
      </x:c>
      <x:c r="B6" s="3" t="n">
        <x:v>7</x:v>
      </x:c>
      <x:c r="C6" s="3" t="n">
        <x:v>10</x:v>
      </x:c>
      <x:c r="D6" s="3" t="str">
        <x:v>NADH</x:v>
      </x:c>
      <x:c r="E6" s="3" t="str">
        <x:v>100 mM HEPES, pH 7.0</x:v>
      </x:c>
      <x:c r="F6" s="3" t="str">
        <x:v>Initial rates from loss of NADH absorbance at 340, 370, or 380 nm; epsilon respectively 6220, 2320, or 1210 M^-1 cm^-1; 1 cm quartz cuvette, Shimadzu UV2600. SI does not map each temperature row to a specific wavelength.</x:v>
      </x:c>
      <x:c r="G6" s="3" t="str">
        <x:v>500 µL; 100 mM HEPES pH7; 3 min pre-equilibration; initiate with NADH; 2018 SI temperature 283 K (2020 nominal 10°C). At least duplicate; parameter error = fitting error. Full substrate/cofactor ranges in JSON.</x:v>
      </x:c>
      <x:c r="H6" s="3" t="str">
        <x:v>https://doi.org/10.1021/acs.biochem.8b01099.s001</x:v>
      </x:c>
    </x:row>
    <x:row r="7" ht="88" customHeight="1">
      <x:c r="A7" s="3" t="str">
        <x:v>6ZZQ_AbHBDH_AAE</x:v>
      </x:c>
      <x:c r="B7" s="3" t="n">
        <x:v>7</x:v>
      </x:c>
      <x:c r="C7" s="3" t="n">
        <x:v>10</x:v>
      </x:c>
      <x:c r="D7" s="3" t="str">
        <x:v>NADH</x:v>
      </x:c>
      <x:c r="E7" s="3" t="str">
        <x:v>100 mM HEPES, pH 7.0</x:v>
      </x:c>
      <x:c r="F7" s="3" t="str">
        <x:v>Initial rates from loss of NADH absorbance at 340, 370, or 380 nm; epsilon respectively 6220, 2320, or 1210 M^-1 cm^-1; 1 cm quartz cuvette, Shimadzu UV2600. SI does not map each temperature row to a specific wavelength.</x:v>
      </x:c>
      <x:c r="G7" s="3" t="str">
        <x:v>500 µL; 100 mM HEPES pH7; 3 min pre-equilibration; initiate with NADH; 2018 SI temperature 283 K (2020 nominal 10°C). At least duplicate; parameter error = fitting error. Full substrate/cofactor ranges in JSON.</x:v>
      </x:c>
      <x:c r="H7" s="3" t="str">
        <x:v>https://doi.org/10.1021/acs.biochem.8b01099.s001</x:v>
      </x:c>
    </x:row>
    <x:row r="8" ht="88" customHeight="1">
      <x:c r="A8" s="3" t="str">
        <x:v>6ZZS_AbHBDH_QT8</x:v>
      </x:c>
      <x:c r="B8" s="3" t="n">
        <x:v>7</x:v>
      </x:c>
      <x:c r="C8" s="3" t="n">
        <x:v>10</x:v>
      </x:c>
      <x:c r="D8" s="3" t="str">
        <x:v>NADH</x:v>
      </x:c>
      <x:c r="E8" s="3" t="str">
        <x:v>100 mM HEPES, pH 7.0</x:v>
      </x:c>
      <x:c r="F8" s="3" t="str">
        <x:v>Initial rates from loss of NADH absorbance at 340, 370, or 380 nm; epsilon respectively 6220, 2320, or 1210 M^-1 cm^-1; 1 cm quartz cuvette, Shimadzu UV2600. SI does not map each temperature row to a specific wavelength.</x:v>
      </x:c>
      <x:c r="G8" s="3" t="str">
        <x:v>500 µL; 100 mM HEPES pH7; 3 min pre-equilibration; initiate with NADH; 2018 SI temperature 283 K (2020 nominal 10°C). At least duplicate; parameter error = fitting error. Full substrate/cofactor ranges in JSON.</x:v>
      </x:c>
      <x:c r="H8" s="3" t="str">
        <x:v>https://doi.org/10.1021/acs.biochem.8b01099.s001</x:v>
      </x:c>
    </x:row>
    <x:row r="9" ht="88" customHeight="1">
      <x:c r="A9" s="3" t="str">
        <x:v>PaHBDH_H150A_AAE_activity_only</x:v>
      </x:c>
      <x:c r="B9" s="3" t="n">
        <x:v>7</x:v>
      </x:c>
      <x:c r="C9" s="3" t="n">
        <x:v>10</x:v>
      </x:c>
      <x:c r="D9" s="3" t="str">
        <x:v>NADH</x:v>
      </x:c>
      <x:c r="E9" s="3" t="str"/>
      <x:c r="F9" s="3" t="str">
        <x:v>Initial rates from loss of NADH absorbance at 340 nm; epsilon 6220 M^-1 cm^-1; 1 cm quartz cuvette</x:v>
      </x:c>
      <x:c r="G9" s="3" t="str">
        <x:v>Purified mutant; NADH reduction of acetoacetate; source Table4. Duplicate measurements. No matched mutant complex. Full concentration ranges and bounds in assay_conditions.json.</x:v>
      </x:c>
      <x:c r="H9" s="3" t="str">
        <x:v>https://doi.org/10.1021/acscatal.0c04736</x:v>
      </x:c>
    </x:row>
    <x:row r="10" ht="88" customHeight="1">
      <x:c r="A10" s="3" t="str">
        <x:v>PaHBDH_H150N_AAE_activity_only</x:v>
      </x:c>
      <x:c r="B10" s="3" t="n">
        <x:v>7</x:v>
      </x:c>
      <x:c r="C10" s="3" t="n">
        <x:v>10</x:v>
      </x:c>
      <x:c r="D10" s="3" t="str">
        <x:v>NADH</x:v>
      </x:c>
      <x:c r="E10" s="3" t="str"/>
      <x:c r="F10" s="3" t="str">
        <x:v>Initial rates from loss of NADH absorbance at 340 nm; epsilon 6220 M^-1 cm^-1; 1 cm quartz cuvette</x:v>
      </x:c>
      <x:c r="G10" s="3" t="str">
        <x:v>Purified mutant; NADH reduction of acetoacetate; source Table4. Duplicate measurements. No matched mutant complex. Full concentration ranges and bounds in assay_conditions.json.</x:v>
      </x:c>
      <x:c r="H10" s="3" t="str">
        <x:v>https://doi.org/10.1021/acscatal.0c04736</x:v>
      </x:c>
    </x:row>
    <x:row r="11" ht="88" customHeight="1">
      <x:c r="A11" s="3" t="str">
        <x:v>AbHBDH_N145A_AAE_activity_only</x:v>
      </x:c>
      <x:c r="B11" s="3" t="n">
        <x:v>7</x:v>
      </x:c>
      <x:c r="C11" s="3" t="n">
        <x:v>10</x:v>
      </x:c>
      <x:c r="D11" s="3" t="str">
        <x:v>NADH</x:v>
      </x:c>
      <x:c r="E11" s="3" t="str"/>
      <x:c r="F11" s="3" t="str">
        <x:v>Initial rates from loss of NADH absorbance at 340 nm; epsilon 6220 M^-1 cm^-1; 1 cm quartz cuvette</x:v>
      </x:c>
      <x:c r="G11" s="3" t="str">
        <x:v>Purified mutant; NADH reduction of acetoacetate; source Table4. Duplicate measurements. No matched mutant complex. Full concentration ranges and bounds in assay_conditions.json.</x:v>
      </x:c>
      <x:c r="H11" s="3" t="str">
        <x:v>https://doi.org/10.1021/acscatal.0c04736</x:v>
      </x:c>
    </x:row>
    <x:row r="12" ht="88" customHeight="1">
      <x:c r="A12" s="3" t="str">
        <x:v>AbHBDH_N145H_AAE_activity_only</x:v>
      </x:c>
      <x:c r="B12" s="3" t="n">
        <x:v>7</x:v>
      </x:c>
      <x:c r="C12" s="3" t="n">
        <x:v>10</x:v>
      </x:c>
      <x:c r="D12" s="3" t="str">
        <x:v>NADH</x:v>
      </x:c>
      <x:c r="E12" s="3" t="str"/>
      <x:c r="F12" s="3" t="str">
        <x:v>Initial rates from loss of NADH absorbance at 340 nm; epsilon 6220 M^-1 cm^-1; 1 cm quartz cuvette</x:v>
      </x:c>
      <x:c r="G12" s="3" t="str">
        <x:v>Purified mutant; NADH reduction of acetoacetate; source Table4. Duplicate measurements. No matched mutant complex. Full concentration ranges and bounds in assay_conditions.json.</x:v>
      </x:c>
      <x:c r="H12" s="3" t="str">
        <x:v>https://doi.org/10.1021/acscatal.0c04736</x:v>
      </x:c>
    </x:row>
    <x:row r="13" ht="88" customHeight="1">
      <x:c r="A13" s="3" t="str">
        <x:v>LB_WT_AP_NADPH_2005</x:v>
      </x:c>
      <x:c r="B13" s="3" t="n">
        <x:v>7</x:v>
      </x:c>
      <x:c r="C13" s="3" t="n">
        <x:v>30</x:v>
      </x:c>
      <x:c r="D13" s="3" t="str">
        <x:v>NADPH</x:v>
      </x:c>
      <x:c r="E13" s="3" t="str"/>
      <x:c r="F13" s="3" t="str"/>
      <x:c r="G13" s="3" t="str">
        <x:v>BRENDA extraction and explicit reprinted kinetic table; original paper full numerical table not directly read. WT NADPH versus G37D NADH, so cofactor is a changed assay factor.</x:v>
      </x:c>
      <x:c r="H13" s="3" t="str">
        <x:v>https://brenda-enzymes.info/literature.php?e=1.1.1.2&amp;r=675348</x:v>
      </x:c>
    </x:row>
    <x:row r="14" ht="88" customHeight="1">
      <x:c r="A14" s="3" t="str">
        <x:v>LB_G37D_AP_NADH_2005</x:v>
      </x:c>
      <x:c r="B14" s="3" t="n">
        <x:v>7</x:v>
      </x:c>
      <x:c r="C14" s="3" t="n">
        <x:v>30</x:v>
      </x:c>
      <x:c r="D14" s="3" t="str">
        <x:v>NADH</x:v>
      </x:c>
      <x:c r="E14" s="3" t="str"/>
      <x:c r="F14" s="3" t="str"/>
      <x:c r="G14" s="3" t="str">
        <x:v>BRENDA extraction and explicit reprinted kinetic table; original paper full numerical table not directly read. WT NADPH versus G37D NADH, so cofactor is a changed assay factor.</x:v>
      </x:c>
      <x:c r="H14" s="3" t="str">
        <x:v>https://brenda-enzymes.info/literature.php?e=1.1.1.2&amp;r=675348</x:v>
      </x:c>
    </x:row>
    <x:row r="15" ht="88" customHeight="1">
      <x:c r="A15" s="3" t="str">
        <x:v>DSTRII_TROP_NADPH_2003</x:v>
      </x:c>
      <x:c r="B15" s="3" t="n">
        <x:v>7.5</x:v>
      </x:c>
      <x:c r="C15" s="3" t="n">
        <x:v>15</x:v>
      </x:c>
      <x:c r="D15" s="3" t="str">
        <x:v>NADPH</x:v>
      </x:c>
      <x:c r="E15" s="3" t="str"/>
      <x:c r="F15" s="3" t="str"/>
      <x:c r="G15" s="3" t="str">
        <x:v>BRENDA extraction from 2003 structure paper. pH7.5, 15°C. Detailed buffer/cofactor saturation protocol not directly verified. 2AE2 is a cross-paper product-state reference.</x:v>
      </x:c>
      <x:c r="H15" s="3" t="str">
        <x:v>https://www.brenda-enzymes.org/literature.php?e=1.1.1.236&amp;r=654707</x:v>
      </x:c>
    </x:row>
    <x:row r="16" ht="88" customHeight="1">
      <x:c r="A16" s="3" t="str">
        <x:v>PNAS2015_WT_1</x:v>
      </x:c>
      <x:c r="B16" s="3" t="n">
        <x:v>7</x:v>
      </x:c>
      <x:c r="C16" s="3" t="n">
        <x:v>25</x:v>
      </x:c>
      <x:c r="D16" s="3" t="str">
        <x:v>NADPH</x:v>
      </x:c>
      <x:c r="E16" s="3" t="str">
        <x:v>150 mM phosphate</x:v>
      </x:c>
      <x:c r="F16" s="3" t="str">
        <x:v>NADPH depletion A340</x:v>
      </x:c>
      <x:c r="G16" s="3" t="str">
        <x:v>150 mM phosphate; NADPH 1 mM; MgSO4 2 mM; glycerol 7%; DMSO 2%; substrate [10,160] mM; enzyme 0.05 mM (source units).</x:v>
      </x:c>
      <x:c r="H16" s="3" t="str">
        <x:v>https://pmc.ncbi.nlm.nih.gov/articles/PMC4697376/</x:v>
      </x:c>
    </x:row>
    <x:row r="17" ht="88" customHeight="1">
      <x:c r="A17" s="3" t="str">
        <x:v>PNAS2015_WT_2</x:v>
      </x:c>
      <x:c r="B17" s="3" t="n">
        <x:v>7</x:v>
      </x:c>
      <x:c r="C17" s="3" t="n">
        <x:v>25</x:v>
      </x:c>
      <x:c r="D17" s="3" t="str">
        <x:v>NADPH</x:v>
      </x:c>
      <x:c r="E17" s="3" t="str">
        <x:v>150 mM phosphate</x:v>
      </x:c>
      <x:c r="F17" s="3" t="str">
        <x:v>NADPH depletion A340</x:v>
      </x:c>
      <x:c r="G17" s="3" t="str">
        <x:v>150 mM phosphate; NADPH 1 mM; MgSO4 2 mM; glycerol 7%; DMSO 2%; substrate [0.2,1] mM; enzyme 0.05 mM (source units).</x:v>
      </x:c>
      <x:c r="H17" s="3" t="str">
        <x:v>https://pmc.ncbi.nlm.nih.gov/articles/PMC4697376/</x:v>
      </x:c>
    </x:row>
    <x:row r="18" ht="88" customHeight="1">
      <x:c r="A18" s="3" t="str">
        <x:v>PNAS2015_A94F_1</x:v>
      </x:c>
      <x:c r="B18" s="3" t="n">
        <x:v>7</x:v>
      </x:c>
      <x:c r="C18" s="3" t="n">
        <x:v>25</x:v>
      </x:c>
      <x:c r="D18" s="3" t="str">
        <x:v>NADPH</x:v>
      </x:c>
      <x:c r="E18" s="3" t="str">
        <x:v>150 mM phosphate</x:v>
      </x:c>
      <x:c r="F18" s="3" t="str">
        <x:v>NADPH depletion A340</x:v>
      </x:c>
      <x:c r="G18" s="3" t="str">
        <x:v>150 mM phosphate; NADPH 1 mM; MgSO4 2 mM; glycerol 7%; DMSO 2%; substrate [10,160] mM; enzyme 0.05 mM (source units).</x:v>
      </x:c>
      <x:c r="H18" s="3" t="str">
        <x:v>https://pmc.ncbi.nlm.nih.gov/articles/PMC4697376/</x:v>
      </x:c>
    </x:row>
    <x:row r="19" ht="88" customHeight="1">
      <x:c r="A19" s="3" t="str">
        <x:v>PNAS2015_A94F_2</x:v>
      </x:c>
      <x:c r="B19" s="3" t="n">
        <x:v>7</x:v>
      </x:c>
      <x:c r="C19" s="3" t="n">
        <x:v>25</x:v>
      </x:c>
      <x:c r="D19" s="3" t="str">
        <x:v>NADPH</x:v>
      </x:c>
      <x:c r="E19" s="3" t="str">
        <x:v>150 mM phosphate</x:v>
      </x:c>
      <x:c r="F19" s="3" t="str">
        <x:v>NADPH depletion A340</x:v>
      </x:c>
      <x:c r="G19" s="3" t="str">
        <x:v>150 mM phosphate; NADPH 1 mM; MgSO4 2 mM; glycerol 7%; DMSO 2%; substrate [0.2,1] mM; enzyme 0.05 mM (source units).</x:v>
      </x:c>
      <x:c r="H19" s="3" t="str">
        <x:v>https://pmc.ncbi.nlm.nih.gov/articles/PMC4697376/</x:v>
      </x:c>
    </x:row>
    <x:row r="20" ht="88" customHeight="1">
      <x:c r="A20" s="3" t="str">
        <x:v>PNAS2015_Y190F_1</x:v>
      </x:c>
      <x:c r="B20" s="3" t="n">
        <x:v>7</x:v>
      </x:c>
      <x:c r="C20" s="3" t="n">
        <x:v>25</x:v>
      </x:c>
      <x:c r="D20" s="3" t="str">
        <x:v>NADPH</x:v>
      </x:c>
      <x:c r="E20" s="3" t="str">
        <x:v>150 mM phosphate</x:v>
      </x:c>
      <x:c r="F20" s="3" t="str">
        <x:v>NADPH depletion A340</x:v>
      </x:c>
      <x:c r="G20" s="3" t="str">
        <x:v>150 mM phosphate; NADPH 1 mM; MgSO4 2 mM; glycerol 7%; DMSO 2%; substrate [10,160] mM; enzyme 0.05 mM (source units).</x:v>
      </x:c>
      <x:c r="H20" s="3" t="str">
        <x:v>https://pmc.ncbi.nlm.nih.gov/articles/PMC4697376/</x:v>
      </x:c>
    </x:row>
    <x:row r="21" ht="88" customHeight="1">
      <x:c r="A21" s="3" t="str">
        <x:v>PNAS2015_Y190F_2</x:v>
      </x:c>
      <x:c r="B21" s="3" t="n">
        <x:v>7</x:v>
      </x:c>
      <x:c r="C21" s="3" t="n">
        <x:v>25</x:v>
      </x:c>
      <x:c r="D21" s="3" t="str">
        <x:v>NADPH</x:v>
      </x:c>
      <x:c r="E21" s="3" t="str">
        <x:v>150 mM phosphate</x:v>
      </x:c>
      <x:c r="F21" s="3" t="str">
        <x:v>NADPH depletion A340</x:v>
      </x:c>
      <x:c r="G21" s="3" t="str">
        <x:v>150 mM phosphate; NADPH 1 mM; MgSO4 2 mM; glycerol 7%; DMSO 2%; substrate [0.2,1] mM; enzyme 0.05 mM (source units).</x:v>
      </x:c>
      <x:c r="H21" s="3" t="str">
        <x:v>https://pmc.ncbi.nlm.nih.gov/articles/PMC4697376/</x:v>
      </x:c>
    </x:row>
    <x:row r="22" ht="88" customHeight="1">
      <x:c r="A22" s="3" t="str">
        <x:v>PNAS2015_E145S_1</x:v>
      </x:c>
      <x:c r="B22" s="3" t="n">
        <x:v>7</x:v>
      </x:c>
      <x:c r="C22" s="3" t="n">
        <x:v>25</x:v>
      </x:c>
      <x:c r="D22" s="3" t="str">
        <x:v>NADPH</x:v>
      </x:c>
      <x:c r="E22" s="3" t="str">
        <x:v>150 mM phosphate</x:v>
      </x:c>
      <x:c r="F22" s="3" t="str">
        <x:v>NADPH depletion A340</x:v>
      </x:c>
      <x:c r="G22" s="3" t="str">
        <x:v>150 mM phosphate; NADPH 1 mM; MgSO4 2 mM; glycerol 7%; DMSO 2%; substrate [10,160] mM; enzyme 0.05 mM (source units).</x:v>
      </x:c>
      <x:c r="H22" s="3" t="str">
        <x:v>https://pmc.ncbi.nlm.nih.gov/articles/PMC4697376/</x:v>
      </x:c>
    </x:row>
    <x:row r="23" ht="88" customHeight="1">
      <x:c r="A23" s="3" t="str">
        <x:v>PNAS2015_E145S_2</x:v>
      </x:c>
      <x:c r="B23" s="3" t="n">
        <x:v>7</x:v>
      </x:c>
      <x:c r="C23" s="3" t="n">
        <x:v>25</x:v>
      </x:c>
      <x:c r="D23" s="3" t="str">
        <x:v>NADPH</x:v>
      </x:c>
      <x:c r="E23" s="3" t="str">
        <x:v>150 mM phosphate</x:v>
      </x:c>
      <x:c r="F23" s="3" t="str">
        <x:v>NADPH depletion A340</x:v>
      </x:c>
      <x:c r="G23" s="3" t="str">
        <x:v>150 mM phosphate; NADPH 1 mM; MgSO4 2 mM; glycerol 7%; DMSO 2%; substrate [0.2,1] mM; enzyme 0.05 mM (source units).</x:v>
      </x:c>
      <x:c r="H23" s="3" t="str">
        <x:v>https://pmc.ncbi.nlm.nih.gov/articles/PMC4697376/</x:v>
      </x:c>
    </x:row>
    <x:row r="24" ht="88" customHeight="1">
      <x:c r="A24" s="3" t="str">
        <x:v>PNAS2015_Sph_1</x:v>
      </x:c>
      <x:c r="B24" s="3" t="n">
        <x:v>7</x:v>
      </x:c>
      <x:c r="C24" s="3" t="n">
        <x:v>25</x:v>
      </x:c>
      <x:c r="D24" s="3" t="str">
        <x:v>NADPH</x:v>
      </x:c>
      <x:c r="E24" s="3" t="str">
        <x:v>150 mM phosphate</x:v>
      </x:c>
      <x:c r="F24" s="3" t="str">
        <x:v>NADPH depletion A340</x:v>
      </x:c>
      <x:c r="G24" s="3" t="str">
        <x:v>150 mM phosphate; NADPH 1 mM; MgSO4 2 mM; glycerol 7%; DMSO 2%; substrate [10,160] mM; enzyme 0.05 mM (source units).</x:v>
      </x:c>
      <x:c r="H24" s="3" t="str">
        <x:v>https://pmc.ncbi.nlm.nih.gov/articles/PMC4697376/</x:v>
      </x:c>
    </x:row>
    <x:row r="25" ht="88" customHeight="1">
      <x:c r="A25" s="3" t="str">
        <x:v>PNAS2015_Sph_2</x:v>
      </x:c>
      <x:c r="B25" s="3" t="n">
        <x:v>7</x:v>
      </x:c>
      <x:c r="C25" s="3" t="n">
        <x:v>25</x:v>
      </x:c>
      <x:c r="D25" s="3" t="str">
        <x:v>NADPH</x:v>
      </x:c>
      <x:c r="E25" s="3" t="str">
        <x:v>150 mM phosphate</x:v>
      </x:c>
      <x:c r="F25" s="3" t="str">
        <x:v>NADPH depletion A340</x:v>
      </x:c>
      <x:c r="G25" s="3" t="str">
        <x:v>150 mM phosphate; NADPH 1 mM; MgSO4 2 mM; glycerol 7%; DMSO 2%; substrate [0.2,1] mM; enzyme 0.05 mM (source units).</x:v>
      </x:c>
      <x:c r="H25" s="3" t="str">
        <x:v>https://pmc.ncbi.nlm.nih.gov/articles/PMC4697376/</x:v>
      </x:c>
    </x:row>
    <x:row r="26" ht="88" customHeight="1">
      <x:c r="A26" s="3" t="str">
        <x:v>Ssal2024_WT_1a</x:v>
      </x:c>
      <x:c r="B26" s="3" t="n">
        <x:v>7</x:v>
      </x:c>
      <x:c r="C26" s="3" t="n">
        <x:v>25</x:v>
      </x:c>
      <x:c r="D26" s="3" t="str">
        <x:v>NADP+ / iPrOH regeneration</x:v>
      </x:c>
      <x:c r="E26" s="3" t="str">
        <x:v>Potassium phosphate; concentrations in SI recipe are premix unless explicitly final</x:v>
      </x:c>
      <x:c r="F26" s="3" t="str">
        <x:v>Substrate 1a depletion at 340 nm</x:v>
      </x:c>
      <x:c r="G26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26" s="3" t="str">
        <x:v>https://media.springernature.com/original/springer-static/esm/art%3A10.1038%2Fs42004-024-01130-5/MediaObjects/42004_2024_1130_MOESM2_ESM.pdf</x:v>
      </x:c>
    </x:row>
    <x:row r="27" ht="88" customHeight="1">
      <x:c r="A27" s="3" t="str">
        <x:v>Ssal2024_M1_1a</x:v>
      </x:c>
      <x:c r="B27" s="3" t="n">
        <x:v>7</x:v>
      </x:c>
      <x:c r="C27" s="3" t="n">
        <x:v>25</x:v>
      </x:c>
      <x:c r="D27" s="3" t="str">
        <x:v>NADP+ / iPrOH regeneration</x:v>
      </x:c>
      <x:c r="E27" s="3" t="str">
        <x:v>Potassium phosphate; concentrations in SI recipe are premix unless explicitly final</x:v>
      </x:c>
      <x:c r="F27" s="3" t="str">
        <x:v>Substrate 1a depletion at 340 nm</x:v>
      </x:c>
      <x:c r="G27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27" s="3" t="str">
        <x:v>https://media.springernature.com/original/springer-static/esm/art%3A10.1038%2Fs42004-024-01130-5/MediaObjects/42004_2024_1130_MOESM2_ESM.pdf</x:v>
      </x:c>
    </x:row>
    <x:row r="28" ht="88" customHeight="1">
      <x:c r="A28" s="3" t="str">
        <x:v>Ssal2024_M2_1a</x:v>
      </x:c>
      <x:c r="B28" s="3" t="n">
        <x:v>7</x:v>
      </x:c>
      <x:c r="C28" s="3" t="n">
        <x:v>25</x:v>
      </x:c>
      <x:c r="D28" s="3" t="str">
        <x:v>NADP+ / iPrOH regeneration</x:v>
      </x:c>
      <x:c r="E28" s="3" t="str">
        <x:v>Potassium phosphate; concentrations in SI recipe are premix unless explicitly final</x:v>
      </x:c>
      <x:c r="F28" s="3" t="str">
        <x:v>Substrate 1a depletion at 340 nm</x:v>
      </x:c>
      <x:c r="G28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28" s="3" t="str">
        <x:v>https://media.springernature.com/original/springer-static/esm/art%3A10.1038%2Fs42004-024-01130-5/MediaObjects/42004_2024_1130_MOESM2_ESM.pdf</x:v>
      </x:c>
    </x:row>
    <x:row r="29" ht="88" customHeight="1">
      <x:c r="A29" s="3" t="str">
        <x:v>Ssal2024_M3_1a</x:v>
      </x:c>
      <x:c r="B29" s="3" t="n">
        <x:v>7</x:v>
      </x:c>
      <x:c r="C29" s="3" t="n">
        <x:v>25</x:v>
      </x:c>
      <x:c r="D29" s="3" t="str">
        <x:v>NADP+ / iPrOH regeneration</x:v>
      </x:c>
      <x:c r="E29" s="3" t="str">
        <x:v>Potassium phosphate; concentrations in SI recipe are premix unless explicitly final</x:v>
      </x:c>
      <x:c r="F29" s="3" t="str">
        <x:v>Substrate 1a depletion at 340 nm</x:v>
      </x:c>
      <x:c r="G29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29" s="3" t="str">
        <x:v>https://media.springernature.com/original/springer-static/esm/art%3A10.1038%2Fs42004-024-01130-5/MediaObjects/42004_2024_1130_MOESM2_ESM.pdf</x:v>
      </x:c>
    </x:row>
    <x:row r="30" ht="88" customHeight="1">
      <x:c r="A30" s="3" t="str">
        <x:v>Ssal2024_M4_1a</x:v>
      </x:c>
      <x:c r="B30" s="3" t="n">
        <x:v>7</x:v>
      </x:c>
      <x:c r="C30" s="3" t="n">
        <x:v>25</x:v>
      </x:c>
      <x:c r="D30" s="3" t="str">
        <x:v>NADP+ / iPrOH regeneration</x:v>
      </x:c>
      <x:c r="E30" s="3" t="str">
        <x:v>Potassium phosphate; concentrations in SI recipe are premix unless explicitly final</x:v>
      </x:c>
      <x:c r="F30" s="3" t="str">
        <x:v>Substrate 1a depletion at 340 nm</x:v>
      </x:c>
      <x:c r="G30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30" s="3" t="str">
        <x:v>https://media.springernature.com/original/springer-static/esm/art%3A10.1038%2Fs42004-024-01130-5/MediaObjects/42004_2024_1130_MOESM2_ESM.pdf</x:v>
      </x:c>
    </x:row>
    <x:row r="31" ht="88" customHeight="1">
      <x:c r="A31" s="3" t="str">
        <x:v>Ssal2024_M5_1a</x:v>
      </x:c>
      <x:c r="B31" s="3" t="n">
        <x:v>7</x:v>
      </x:c>
      <x:c r="C31" s="3" t="n">
        <x:v>25</x:v>
      </x:c>
      <x:c r="D31" s="3" t="str">
        <x:v>NADP+ / iPrOH regeneration</x:v>
      </x:c>
      <x:c r="E31" s="3" t="str">
        <x:v>Potassium phosphate; concentrations in SI recipe are premix unless explicitly final</x:v>
      </x:c>
      <x:c r="F31" s="3" t="str">
        <x:v>Substrate 1a depletion at 340 nm</x:v>
      </x:c>
      <x:c r="G31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31" s="3" t="str">
        <x:v>https://media.springernature.com/original/springer-static/esm/art%3A10.1038%2Fs42004-024-01130-5/MediaObjects/42004_2024_1130_MOESM2_ESM.pdf</x:v>
      </x:c>
    </x:row>
    <x:row r="32" ht="88" customHeight="1">
      <x:c r="A32" s="3" t="str">
        <x:v>Ssal2024_M6_1a</x:v>
      </x:c>
      <x:c r="B32" s="3" t="n">
        <x:v>7</x:v>
      </x:c>
      <x:c r="C32" s="3" t="n">
        <x:v>25</x:v>
      </x:c>
      <x:c r="D32" s="3" t="str">
        <x:v>NADP+ / iPrOH regeneration</x:v>
      </x:c>
      <x:c r="E32" s="3" t="str">
        <x:v>Potassium phosphate; concentrations in SI recipe are premix unless explicitly final</x:v>
      </x:c>
      <x:c r="F32" s="3" t="str">
        <x:v>Substrate 1a depletion at 340 nm</x:v>
      </x:c>
      <x:c r="G32" s="3" t="str">
        <x:v>200 µL total: 178 µL buffer/cofactor premix + 6 µL purified enzyme + 16 µL substrate/iPrOH. Variant-specific enzyme/substrate ranges and premix concentrations: assay_conditions.json. M4 not saturated; M2/M5 raw replicate-column discrepancy retained.</x:v>
      </x:c>
      <x:c r="H32" s="3" t="str">
        <x:v>https://media.springernature.com/original/springer-static/esm/art%3A10.1038%2Fs42004-024-01130-5/MediaObjects/42004_2024_1130_MOESM2_ESM.pdf</x:v>
      </x:c>
    </x:row>
  </x:sheetData>
  <x:mergeCells>
    <x:mergeCell ref="A1:D1"/>
    <x:mergeCell ref="A2:G2"/>
  </x:mergeCells>
  <x:pageMargins left="0.7" right="0.7" top="0.75" bottom="0.75" header="0.3" footer="0.3"/>
  <x:tableParts count="1">
    <x:tablePart xmlns:r="http://schemas.openxmlformats.org/officeDocument/2006/relationships" r:id="R5111a716e0284e65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6" hidden="0" customWidth="1"/>
    <x:col min="4" max="4" width="30" hidden="0" customWidth="1"/>
    <x:col min="5" max="5" width="17" hidden="0" customWidth="1"/>
    <x:col min="6" max="6" width="38" hidden="0" customWidth="1"/>
    <x:col min="7" max="7" width="24" hidden="0" customWidth="1"/>
    <x:col min="8" max="8" width="80" hidden="0" customWidth="1"/>
    <x:col min="9" max="9" width="90" hidden="0" customWidth="1"/>
    <x:col min="10" max="10" width="64" hidden="0" customWidth="1"/>
  </x:cols>
  <x:sheetData>
    <x:row r="1" ht="38" customHeight="1">
      <x:c r="A1" s="5" t="str">
        <x:v>选择性标签  |  与活性分别保存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6" t="str">
        <x:v>er采用原文S/R方向。Sph氧底物的1.3属于缺少P194N的九突变变体，不能并到十突变Sph的动力学记录。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0" customHeight="1">
      <x:c r="A4" s="8" t="str">
        <x:v>selectivity_id</x:v>
      </x:c>
      <x:c r="B4" s="8" t="str">
        <x:v>enzyme</x:v>
      </x:c>
      <x:c r="C4" s="8" t="str">
        <x:v>variant</x:v>
      </x:c>
      <x:c r="D4" s="8" t="str">
        <x:v>substrate</x:v>
      </x:c>
      <x:c r="E4" s="8" t="str">
        <x:v>er_S_over_R</x:v>
      </x:c>
      <x:c r="F4" s="8" t="str">
        <x:v>kinetic_label_id</x:v>
      </x:c>
      <x:c r="G4" s="8" t="str">
        <x:v>kinetic_variant_identity_match</x:v>
      </x:c>
      <x:c r="H4" s="8" t="str">
        <x:v>conditions_status</x:v>
      </x:c>
      <x:c r="I4" s="8" t="str">
        <x:v>note</x:v>
      </x:c>
      <x:c r="J4" s="8" t="str">
        <x:v>source_url</x:v>
      </x:c>
    </x:row>
    <x:row r="5" ht="70" customHeight="1">
      <x:c r="A5" s="3" t="str">
        <x:v>PNAS2015_WT_1_er</x:v>
      </x:c>
      <x:c r="B5" s="3" t="str">
        <x:v>LkKRED</x:v>
      </x:c>
      <x:c r="C5" s="3" t="str">
        <x:v>WT</x:v>
      </x:c>
      <x:c r="D5" s="3" t="str">
        <x:v>3-oxacyclopentanone</x:v>
      </x:c>
      <x:c r="E5" s="25" t="n">
        <x:v>4.2</x:v>
      </x:c>
      <x:c r="F5" s="3" t="str">
        <x:v>PNAS2015_WT_1</x:v>
      </x:c>
      <x:c r="G5" s="24" t="b">
        <x:v>1</x:v>
      </x:c>
      <x:c r="H5" s="3" t="str">
        <x:v>Keep selection assay separate from kinetic assay; exact er conditions not independently extracted</x:v>
      </x:c>
      <x:c r="I5" s="3" t="str">
        <x:v>Selectivity label; do not relabel as catalytic activity or conversion</x:v>
      </x:c>
      <x:c r="J5" s="3" t="str">
        <x:v>https://pmc.ncbi.nlm.nih.gov/articles/PMC4697376/</x:v>
      </x:c>
    </x:row>
    <x:row r="6" ht="70" customHeight="1">
      <x:c r="A6" s="3" t="str">
        <x:v>PNAS2015_WT_2_er</x:v>
      </x:c>
      <x:c r="B6" s="3" t="str">
        <x:v>LkKRED</x:v>
      </x:c>
      <x:c r="C6" s="3" t="str">
        <x:v>WT</x:v>
      </x:c>
      <x:c r="D6" s="3" t="str">
        <x:v>3-thiacyclopentanone</x:v>
      </x:c>
      <x:c r="E6" s="25" t="n">
        <x:v>0.2</x:v>
      </x:c>
      <x:c r="F6" s="3" t="str">
        <x:v>PNAS2015_WT_2</x:v>
      </x:c>
      <x:c r="G6" s="24" t="b">
        <x:v>1</x:v>
      </x:c>
      <x:c r="H6" s="3" t="str">
        <x:v>Keep selection assay separate from kinetic assay; exact er conditions not independently extracted</x:v>
      </x:c>
      <x:c r="I6" s="3" t="str">
        <x:v>Selectivity label; do not relabel as catalytic activity or conversion</x:v>
      </x:c>
      <x:c r="J6" s="3" t="str">
        <x:v>https://pmc.ncbi.nlm.nih.gov/articles/PMC4697376/</x:v>
      </x:c>
    </x:row>
    <x:row r="7" ht="70" customHeight="1">
      <x:c r="A7" s="3" t="str">
        <x:v>PNAS2015_A94F_1_er</x:v>
      </x:c>
      <x:c r="B7" s="3" t="str">
        <x:v>LkKRED</x:v>
      </x:c>
      <x:c r="C7" s="3" t="str">
        <x:v>A94F</x:v>
      </x:c>
      <x:c r="D7" s="3" t="str">
        <x:v>3-oxacyclopentanone</x:v>
      </x:c>
      <x:c r="E7" s="25" t="n">
        <x:v>27.5</x:v>
      </x:c>
      <x:c r="F7" s="3" t="str">
        <x:v>PNAS2015_A94F_1</x:v>
      </x:c>
      <x:c r="G7" s="24" t="b">
        <x:v>1</x:v>
      </x:c>
      <x:c r="H7" s="3" t="str">
        <x:v>Keep selection assay separate from kinetic assay; exact er conditions not independently extracted</x:v>
      </x:c>
      <x:c r="I7" s="3" t="str">
        <x:v>Selectivity label; do not relabel as catalytic activity or conversion</x:v>
      </x:c>
      <x:c r="J7" s="3" t="str">
        <x:v>https://pmc.ncbi.nlm.nih.gov/articles/PMC4697376/</x:v>
      </x:c>
    </x:row>
    <x:row r="8" ht="70" customHeight="1">
      <x:c r="A8" s="3" t="str">
        <x:v>PNAS2015_A94F_2_er</x:v>
      </x:c>
      <x:c r="B8" s="3" t="str">
        <x:v>LkKRED</x:v>
      </x:c>
      <x:c r="C8" s="3" t="str">
        <x:v>A94F</x:v>
      </x:c>
      <x:c r="D8" s="3" t="str">
        <x:v>3-thiacyclopentanone</x:v>
      </x:c>
      <x:c r="E8" s="25" t="n">
        <x:v>2.6</x:v>
      </x:c>
      <x:c r="F8" s="3" t="str">
        <x:v>PNAS2015_A94F_2</x:v>
      </x:c>
      <x:c r="G8" s="24" t="b">
        <x:v>1</x:v>
      </x:c>
      <x:c r="H8" s="3" t="str">
        <x:v>Keep selection assay separate from kinetic assay; exact er conditions not independently extracted</x:v>
      </x:c>
      <x:c r="I8" s="3" t="str">
        <x:v>Selectivity label; do not relabel as catalytic activity or conversion</x:v>
      </x:c>
      <x:c r="J8" s="3" t="str">
        <x:v>https://pmc.ncbi.nlm.nih.gov/articles/PMC4697376/</x:v>
      </x:c>
    </x:row>
    <x:row r="9" ht="70" customHeight="1">
      <x:c r="A9" s="3" t="str">
        <x:v>PNAS2015_Y190F_1_er</x:v>
      </x:c>
      <x:c r="B9" s="3" t="str">
        <x:v>LkKRED</x:v>
      </x:c>
      <x:c r="C9" s="3" t="str">
        <x:v>Y190F</x:v>
      </x:c>
      <x:c r="D9" s="3" t="str">
        <x:v>3-oxacyclopentanone</x:v>
      </x:c>
      <x:c r="E9" s="25" t="n">
        <x:v>9.3</x:v>
      </x:c>
      <x:c r="F9" s="3" t="str">
        <x:v>PNAS2015_Y190F_1</x:v>
      </x:c>
      <x:c r="G9" s="24" t="b">
        <x:v>1</x:v>
      </x:c>
      <x:c r="H9" s="3" t="str">
        <x:v>Keep selection assay separate from kinetic assay; exact er conditions not independently extracted</x:v>
      </x:c>
      <x:c r="I9" s="3" t="str">
        <x:v>Selectivity label; do not relabel as catalytic activity or conversion</x:v>
      </x:c>
      <x:c r="J9" s="3" t="str">
        <x:v>https://pmc.ncbi.nlm.nih.gov/articles/PMC4697376/</x:v>
      </x:c>
    </x:row>
    <x:row r="10" ht="70" customHeight="1">
      <x:c r="A10" s="3" t="str">
        <x:v>PNAS2015_Y190F_2_er</x:v>
      </x:c>
      <x:c r="B10" s="3" t="str">
        <x:v>LkKRED</x:v>
      </x:c>
      <x:c r="C10" s="3" t="str">
        <x:v>Y190F</x:v>
      </x:c>
      <x:c r="D10" s="3" t="str">
        <x:v>3-thiacyclopentanone</x:v>
      </x:c>
      <x:c r="E10" s="25" t="n">
        <x:v>1.6</x:v>
      </x:c>
      <x:c r="F10" s="3" t="str">
        <x:v>PNAS2015_Y190F_2</x:v>
      </x:c>
      <x:c r="G10" s="24" t="b">
        <x:v>1</x:v>
      </x:c>
      <x:c r="H10" s="3" t="str">
        <x:v>Keep selection assay separate from kinetic assay; exact er conditions not independently extracted</x:v>
      </x:c>
      <x:c r="I10" s="3" t="str">
        <x:v>Selectivity label; do not relabel as catalytic activity or conversion</x:v>
      </x:c>
      <x:c r="J10" s="3" t="str">
        <x:v>https://pmc.ncbi.nlm.nih.gov/articles/PMC4697376/</x:v>
      </x:c>
    </x:row>
    <x:row r="11" ht="70" customHeight="1">
      <x:c r="A11" s="3" t="str">
        <x:v>PNAS2015_E145S_1_er</x:v>
      </x:c>
      <x:c r="B11" s="3" t="str">
        <x:v>LkKRED</x:v>
      </x:c>
      <x:c r="C11" s="3" t="str">
        <x:v>E145S</x:v>
      </x:c>
      <x:c r="D11" s="3" t="str">
        <x:v>3-oxacyclopentanone</x:v>
      </x:c>
      <x:c r="E11" s="25" t="n">
        <x:v>4.2</x:v>
      </x:c>
      <x:c r="F11" s="3" t="str">
        <x:v>PNAS2015_E145S_1</x:v>
      </x:c>
      <x:c r="G11" s="24" t="b">
        <x:v>1</x:v>
      </x:c>
      <x:c r="H11" s="3" t="str">
        <x:v>Keep selection assay separate from kinetic assay; exact er conditions not independently extracted</x:v>
      </x:c>
      <x:c r="I11" s="3" t="str">
        <x:v>Selectivity label; do not relabel as catalytic activity or conversion</x:v>
      </x:c>
      <x:c r="J11" s="3" t="str">
        <x:v>https://pmc.ncbi.nlm.nih.gov/articles/PMC4697376/</x:v>
      </x:c>
    </x:row>
    <x:row r="12" ht="70" customHeight="1">
      <x:c r="A12" s="3" t="str">
        <x:v>PNAS2015_E145S_2_er</x:v>
      </x:c>
      <x:c r="B12" s="3" t="str">
        <x:v>LkKRED</x:v>
      </x:c>
      <x:c r="C12" s="3" t="str">
        <x:v>E145S</x:v>
      </x:c>
      <x:c r="D12" s="3" t="str">
        <x:v>3-thiacyclopentanone</x:v>
      </x:c>
      <x:c r="E12" s="25" t="n">
        <x:v>0.02</x:v>
      </x:c>
      <x:c r="F12" s="3" t="str">
        <x:v>PNAS2015_E145S_2</x:v>
      </x:c>
      <x:c r="G12" s="24" t="b">
        <x:v>1</x:v>
      </x:c>
      <x:c r="H12" s="3" t="str">
        <x:v>Keep selection assay separate from kinetic assay; exact er conditions not independently extracted</x:v>
      </x:c>
      <x:c r="I12" s="3" t="str">
        <x:v>Selectivity label; do not relabel as catalytic activity or conversion</x:v>
      </x:c>
      <x:c r="J12" s="3" t="str">
        <x:v>https://pmc.ncbi.nlm.nih.gov/articles/PMC4697376/</x:v>
      </x:c>
    </x:row>
    <x:row r="13" ht="70" customHeight="1">
      <x:c r="A13" s="11" t="str">
        <x:v>PNAS2015_Sph_1_er</x:v>
      </x:c>
      <x:c r="B13" s="11" t="str">
        <x:v>LkKRED</x:v>
      </x:c>
      <x:c r="C13" s="11" t="str">
        <x:v>Sph_without_P194N</x:v>
      </x:c>
      <x:c r="D13" s="11" t="str">
        <x:v>3-oxacyclopentanone</x:v>
      </x:c>
      <x:c r="E13" s="26" t="n">
        <x:v>1.3</x:v>
      </x:c>
      <x:c r="F13" s="11" t="str"/>
      <x:c r="G13" s="27" t="b">
        <x:v>0</x:v>
      </x:c>
      <x:c r="H13" s="3" t="str">
        <x:v>Sph starred er follows SI Fig S33; not independently extracted</x:v>
      </x:c>
      <x:c r="I13" s="3" t="str">
        <x:v>er=1.3 belongs to the nine-mutation variant lacking P194N; do not join to ten-mutation Sph efficiency</x:v>
      </x:c>
      <x:c r="J13" s="3" t="str">
        <x:v>https://pmc.ncbi.nlm.nih.gov/articles/PMC4697376/</x:v>
      </x:c>
    </x:row>
    <x:row r="14" ht="70" customHeight="1">
      <x:c r="A14" s="3" t="str">
        <x:v>PNAS2015_Sph_2_er</x:v>
      </x:c>
      <x:c r="B14" s="3" t="str">
        <x:v>LkKRED</x:v>
      </x:c>
      <x:c r="C14" s="3" t="str">
        <x:v>Sph</x:v>
      </x:c>
      <x:c r="D14" s="3" t="str">
        <x:v>3-thiacyclopentanone</x:v>
      </x:c>
      <x:c r="E14" s="25" t="n">
        <x:v>0.004</x:v>
      </x:c>
      <x:c r="F14" s="3" t="str">
        <x:v>PNAS2015_Sph_2</x:v>
      </x:c>
      <x:c r="G14" s="24" t="b">
        <x:v>1</x:v>
      </x:c>
      <x:c r="H14" s="3" t="str">
        <x:v>Sph starred er follows SI Fig S33; not independently extracted</x:v>
      </x:c>
      <x:c r="I14" s="3" t="str">
        <x:v>Selectivity label; do not relabel as catalytic activity or conversion</x:v>
      </x:c>
      <x:c r="J14" s="3" t="str">
        <x:v>https://pmc.ncbi.nlm.nih.gov/articles/PMC4697376/</x:v>
      </x:c>
    </x:row>
  </x:sheetData>
  <x:mergeCells>
    <x:mergeCell ref="A1:D1"/>
    <x:mergeCell ref="A2:G2"/>
  </x:mergeCells>
  <x:pageMargins left="0.7" right="0.7" top="0.75" bottom="0.75" header="0.3" footer="0.3"/>
  <x:tableParts count="1">
    <x:tablePart xmlns:r="http://schemas.openxmlformats.org/officeDocument/2006/relationships" r:id="R74b49a2905884c6b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9" hidden="0" customWidth="1"/>
    <x:col min="9" max="9" width="18" hidden="0" customWidth="1"/>
    <x:col min="10" max="10" width="21" hidden="0" customWidth="1"/>
    <x:col min="11" max="11" width="20" hidden="0" customWidth="1"/>
    <x:col min="12" max="12" width="88" hidden="0" customWidth="1"/>
    <x:col min="13" max="13" width="74" hidden="0" customWidth="1"/>
  </x:cols>
  <x:sheetData>
    <x:row r="1" ht="38" customHeight="1">
      <x:c r="A1" s="5" t="str">
        <x:v>逐配体实例验证摘要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6" t="str">
        <x:v>数值来自官方XML；同一altloc组的密度指标可能共同计算。精确clash原子和几何异常见原始XML及evidence文件。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0" customHeight="1">
      <x:c r="A4" s="8" t="str">
        <x:v>pdb_id</x:v>
      </x:c>
      <x:c r="B4" s="8" t="str">
        <x:v>auth_chain</x:v>
      </x:c>
      <x:c r="C4" s="8" t="str">
        <x:v>auth_residue_number</x:v>
      </x:c>
      <x:c r="D4" s="8" t="str">
        <x:v>ccd</x:v>
      </x:c>
      <x:c r="E4" s="8" t="str">
        <x:v>altloc</x:v>
      </x:c>
      <x:c r="F4" s="8" t="str">
        <x:v>RSCC</x:v>
      </x:c>
      <x:c r="G4" s="8" t="str">
        <x:v>RSR</x:v>
      </x:c>
      <x:c r="H4" s="8" t="str">
        <x:v>average_occupancy</x:v>
      </x:c>
      <x:c r="I4" s="8" t="str">
        <x:v>average_B_A2</x:v>
      </x:c>
      <x:c r="J4" s="8" t="str">
        <x:v>raw_clash_child_count</x:v>
      </x:c>
      <x:c r="K4" s="8" t="str">
        <x:v>geometry_child_count</x:v>
      </x:c>
      <x:c r="L4" s="8" t="str">
        <x:v>warning</x:v>
      </x:c>
      <x:c r="M4" s="8" t="str">
        <x:v>source_url</x:v>
      </x:c>
    </x:row>
    <x:row r="5" ht="42" customHeight="1">
      <x:c r="A5" s="3" t="str">
        <x:v>1ZK4</x:v>
      </x:c>
      <x:c r="B5" s="3" t="str">
        <x:v>A</x:v>
      </x:c>
      <x:c r="C5" s="3" t="str">
        <x:v>1270</x:v>
      </x:c>
      <x:c r="D5" s="3" t="str">
        <x:v>NAP</x:v>
      </x:c>
      <x:c r="E5" s="3" t="str"/>
      <x:c r="F5" s="28" t="n">
        <x:v>0.222</x:v>
      </x:c>
      <x:c r="G5" s="28" t="n">
        <x:v>0.337</x:v>
      </x:c>
      <x:c r="H5" s="28" t="n">
        <x:v>1</x:v>
      </x:c>
      <x:c r="I5" s="28" t="n">
        <x:v>94.84</x:v>
      </x:c>
      <x:c r="J5" s="3" t="n">
        <x:v>7</x:v>
      </x:c>
      <x:c r="K5" s="3" t="n">
        <x:v>31</x:v>
      </x:c>
      <x:c r="L5" s="3" t="str">
        <x:v>Alternate conformers may share joint EDS statistics. This is not an independent observation or an automatic quality pass.</x:v>
      </x:c>
      <x:c r="M5" s="3" t="str">
        <x:v>https://files.rcsb.org/validation/view/1zk4_validation.xml</x:v>
      </x:c>
    </x:row>
    <x:row r="6" ht="42" customHeight="1">
      <x:c r="A6" s="3" t="str">
        <x:v>1ZK4</x:v>
      </x:c>
      <x:c r="B6" s="3" t="str">
        <x:v>A</x:v>
      </x:c>
      <x:c r="C6" s="3" t="str">
        <x:v>1260</x:v>
      </x:c>
      <x:c r="D6" s="3" t="str">
        <x:v>AC0</x:v>
      </x:c>
      <x:c r="E6" s="3" t="str"/>
      <x:c r="F6" s="28" t="n">
        <x:v>0.154</x:v>
      </x:c>
      <x:c r="G6" s="28" t="n">
        <x:v>0.272</x:v>
      </x:c>
      <x:c r="H6" s="28" t="n">
        <x:v>1</x:v>
      </x:c>
      <x:c r="I6" s="28" t="n">
        <x:v>63.4</x:v>
      </x:c>
      <x:c r="J6" s="3" t="n">
        <x:v>0</x:v>
      </x:c>
      <x:c r="K6" s="3" t="n">
        <x:v>0</x:v>
      </x:c>
      <x:c r="L6" s="3" t="str">
        <x:v>Alternate conformers may share joint EDS statistics. This is not an independent observation or an automatic quality pass.</x:v>
      </x:c>
      <x:c r="M6" s="3" t="str">
        <x:v>https://files.rcsb.org/validation/view/1zk4_validation.xml</x:v>
      </x:c>
    </x:row>
    <x:row r="7" ht="42" customHeight="1">
      <x:c r="A7" s="3" t="str">
        <x:v>1ZJY</x:v>
      </x:c>
      <x:c r="B7" s="3" t="str">
        <x:v>A</x:v>
      </x:c>
      <x:c r="C7" s="3" t="str">
        <x:v>1260</x:v>
      </x:c>
      <x:c r="D7" s="3" t="str">
        <x:v>SS2</x:v>
      </x:c>
      <x:c r="E7" s="3" t="str"/>
      <x:c r="F7" s="28" t="n">
        <x:v>0.779</x:v>
      </x:c>
      <x:c r="G7" s="28" t="n">
        <x:v>0.203</x:v>
      </x:c>
      <x:c r="H7" s="28" t="n">
        <x:v>1</x:v>
      </x:c>
      <x:c r="I7" s="28" t="n">
        <x:v>55.15</x:v>
      </x:c>
      <x:c r="J7" s="3" t="n">
        <x:v>0</x:v>
      </x:c>
      <x:c r="K7" s="3" t="n">
        <x:v>0</x:v>
      </x:c>
      <x:c r="L7" s="3" t="str">
        <x:v>Alternate conformers may share joint EDS statistics. This is not an independent observation or an automatic quality pass.</x:v>
      </x:c>
      <x:c r="M7" s="3" t="str">
        <x:v>https://files.rcsb.org/validation/view/1zjy_validation.xml</x:v>
      </x:c>
    </x:row>
    <x:row r="8" ht="42" customHeight="1">
      <x:c r="A8" s="3" t="str">
        <x:v>1ZJY</x:v>
      </x:c>
      <x:c r="B8" s="3" t="str">
        <x:v>A</x:v>
      </x:c>
      <x:c r="C8" s="3" t="str">
        <x:v>1270</x:v>
      </x:c>
      <x:c r="D8" s="3" t="str">
        <x:v>NAI</x:v>
      </x:c>
      <x:c r="E8" s="3" t="str"/>
      <x:c r="F8" s="28" t="n">
        <x:v>0.589</x:v>
      </x:c>
      <x:c r="G8" s="28" t="n">
        <x:v>0.235</x:v>
      </x:c>
      <x:c r="H8" s="28" t="n">
        <x:v>1</x:v>
      </x:c>
      <x:c r="I8" s="28" t="n">
        <x:v>67.11</x:v>
      </x:c>
      <x:c r="J8" s="3" t="n">
        <x:v>6</x:v>
      </x:c>
      <x:c r="K8" s="3" t="n">
        <x:v>32</x:v>
      </x:c>
      <x:c r="L8" s="3" t="str">
        <x:v>Alternate conformers may share joint EDS statistics. This is not an independent observation or an automatic quality pass.</x:v>
      </x:c>
      <x:c r="M8" s="3" t="str">
        <x:v>https://files.rcsb.org/validation/view/1zjy_validation.xml</x:v>
      </x:c>
    </x:row>
    <x:row r="9" ht="42" customHeight="1">
      <x:c r="A9" s="3" t="str">
        <x:v>1ZJZ</x:v>
      </x:c>
      <x:c r="B9" s="3" t="str">
        <x:v>A</x:v>
      </x:c>
      <x:c r="C9" s="3" t="str">
        <x:v>1260</x:v>
      </x:c>
      <x:c r="D9" s="3" t="str">
        <x:v>SS2</x:v>
      </x:c>
      <x:c r="E9" s="3" t="str"/>
      <x:c r="F9" s="28" t="n">
        <x:v>0.535</x:v>
      </x:c>
      <x:c r="G9" s="28" t="n">
        <x:v>0.28</x:v>
      </x:c>
      <x:c r="H9" s="28" t="n">
        <x:v>1</x:v>
      </x:c>
      <x:c r="I9" s="28" t="n">
        <x:v>55.54</x:v>
      </x:c>
      <x:c r="J9" s="3" t="n">
        <x:v>0</x:v>
      </x:c>
      <x:c r="K9" s="3" t="n">
        <x:v>0</x:v>
      </x:c>
      <x:c r="L9" s="3" t="str">
        <x:v>Alternate conformers may share joint EDS statistics. This is not an independent observation or an automatic quality pass.</x:v>
      </x:c>
      <x:c r="M9" s="3" t="str">
        <x:v>https://files.rcsb.org/validation/view/1zjz_validation.xml</x:v>
      </x:c>
    </x:row>
    <x:row r="10" ht="42" customHeight="1">
      <x:c r="A10" s="3" t="str">
        <x:v>1ZJZ</x:v>
      </x:c>
      <x:c r="B10" s="3" t="str">
        <x:v>A</x:v>
      </x:c>
      <x:c r="C10" s="3" t="str">
        <x:v>1270</x:v>
      </x:c>
      <x:c r="D10" s="3" t="str">
        <x:v>NAD</x:v>
      </x:c>
      <x:c r="E10" s="3" t="str"/>
      <x:c r="F10" s="28" t="n">
        <x:v>0.481</x:v>
      </x:c>
      <x:c r="G10" s="28" t="n">
        <x:v>0.293</x:v>
      </x:c>
      <x:c r="H10" s="28" t="n">
        <x:v>1</x:v>
      </x:c>
      <x:c r="I10" s="28" t="n">
        <x:v>63.62</x:v>
      </x:c>
      <x:c r="J10" s="3" t="n">
        <x:v>6</x:v>
      </x:c>
      <x:c r="K10" s="3" t="n">
        <x:v>29</x:v>
      </x:c>
      <x:c r="L10" s="3" t="str">
        <x:v>Alternate conformers may share joint EDS statistics. This is not an independent observation or an automatic quality pass.</x:v>
      </x:c>
      <x:c r="M10" s="3" t="str">
        <x:v>https://files.rcsb.org/validation/view/1zjz_validation.xml</x:v>
      </x:c>
    </x:row>
    <x:row r="11" ht="42" customHeight="1">
      <x:c r="A11" s="3" t="str">
        <x:v>1ZK0</x:v>
      </x:c>
      <x:c r="B11" s="3" t="str">
        <x:v>A</x:v>
      </x:c>
      <x:c r="C11" s="3" t="str">
        <x:v>1260</x:v>
      </x:c>
      <x:c r="D11" s="3" t="str">
        <x:v>SS2</x:v>
      </x:c>
      <x:c r="E11" s="3" t="str"/>
      <x:c r="F11" s="28" t="n">
        <x:v>0.513</x:v>
      </x:c>
      <x:c r="G11" s="28" t="n">
        <x:v>0.257</x:v>
      </x:c>
      <x:c r="H11" s="28" t="n">
        <x:v>1</x:v>
      </x:c>
      <x:c r="I11" s="28" t="n">
        <x:v>72.05</x:v>
      </x:c>
      <x:c r="J11" s="3" t="n">
        <x:v>0</x:v>
      </x:c>
      <x:c r="K11" s="3" t="n">
        <x:v>0</x:v>
      </x:c>
      <x:c r="L11" s="3" t="str">
        <x:v>Alternate conformers may share joint EDS statistics. This is not an independent observation or an automatic quality pass.</x:v>
      </x:c>
      <x:c r="M11" s="3" t="str">
        <x:v>https://files.rcsb.org/validation/view/1zk0_validation.xml</x:v>
      </x:c>
    </x:row>
    <x:row r="12" ht="42" customHeight="1">
      <x:c r="A12" s="3" t="str">
        <x:v>1ZK0</x:v>
      </x:c>
      <x:c r="B12" s="3" t="str">
        <x:v>A</x:v>
      </x:c>
      <x:c r="C12" s="3" t="str">
        <x:v>1270</x:v>
      </x:c>
      <x:c r="D12" s="3" t="str">
        <x:v>NAI</x:v>
      </x:c>
      <x:c r="E12" s="3" t="str"/>
      <x:c r="F12" s="28" t="n">
        <x:v>0.528</x:v>
      </x:c>
      <x:c r="G12" s="28" t="n">
        <x:v>0.236</x:v>
      </x:c>
      <x:c r="H12" s="28" t="n">
        <x:v>1</x:v>
      </x:c>
      <x:c r="I12" s="28" t="n">
        <x:v>52.57</x:v>
      </x:c>
      <x:c r="J12" s="3" t="n">
        <x:v>15</x:v>
      </x:c>
      <x:c r="K12" s="3" t="n">
        <x:v>54</x:v>
      </x:c>
      <x:c r="L12" s="3" t="str">
        <x:v>Alternate conformers may share joint EDS statistics. This is not an independent observation or an automatic quality pass.</x:v>
      </x:c>
      <x:c r="M12" s="3" t="str">
        <x:v>https://files.rcsb.org/validation/view/1zk0_validation.xml</x:v>
      </x:c>
    </x:row>
    <x:row r="13" ht="42" customHeight="1">
      <x:c r="A13" s="3" t="str">
        <x:v>1ZK1</x:v>
      </x:c>
      <x:c r="B13" s="3" t="str">
        <x:v>A</x:v>
      </x:c>
      <x:c r="C13" s="3" t="str">
        <x:v>270</x:v>
      </x:c>
      <x:c r="D13" s="3" t="str">
        <x:v>NAD</x:v>
      </x:c>
      <x:c r="E13" s="3" t="str"/>
      <x:c r="F13" s="28" t="n">
        <x:v>0.491</x:v>
      </x:c>
      <x:c r="G13" s="28" t="n">
        <x:v>0.262</x:v>
      </x:c>
      <x:c r="H13" s="28" t="n">
        <x:v>1</x:v>
      </x:c>
      <x:c r="I13" s="28" t="n">
        <x:v>49.8</x:v>
      </x:c>
      <x:c r="J13" s="3" t="n">
        <x:v>12</x:v>
      </x:c>
      <x:c r="K13" s="3" t="n">
        <x:v>47</x:v>
      </x:c>
      <x:c r="L13" s="3" t="str">
        <x:v>Alternate conformers may share joint EDS statistics. This is not an independent observation or an automatic quality pass.</x:v>
      </x:c>
      <x:c r="M13" s="3" t="str">
        <x:v>https://files.rcsb.org/validation/view/1zk1_validation.xml</x:v>
      </x:c>
    </x:row>
    <x:row r="14" ht="42" customHeight="1">
      <x:c r="A14" s="3" t="str">
        <x:v>1ZK1</x:v>
      </x:c>
      <x:c r="B14" s="3" t="str">
        <x:v>A</x:v>
      </x:c>
      <x:c r="C14" s="3" t="str">
        <x:v>260</x:v>
      </x:c>
      <x:c r="D14" s="3" t="str">
        <x:v>AC0</x:v>
      </x:c>
      <x:c r="E14" s="3" t="str"/>
      <x:c r="F14" s="28" t="n">
        <x:v>0.652</x:v>
      </x:c>
      <x:c r="G14" s="28" t="n">
        <x:v>0.278</x:v>
      </x:c>
      <x:c r="H14" s="28" t="n">
        <x:v>1</x:v>
      </x:c>
      <x:c r="I14" s="28" t="n">
        <x:v>49.58</x:v>
      </x:c>
      <x:c r="J14" s="3" t="n">
        <x:v>1</x:v>
      </x:c>
      <x:c r="K14" s="3" t="n">
        <x:v>4</x:v>
      </x:c>
      <x:c r="L14" s="3" t="str">
        <x:v>Alternate conformers may share joint EDS statistics. This is not an independent observation or an automatic quality pass.</x:v>
      </x:c>
      <x:c r="M14" s="3" t="str">
        <x:v>https://files.rcsb.org/validation/view/1zk1_validation.xml</x:v>
      </x:c>
    </x:row>
    <x:row r="15" ht="42" customHeight="1">
      <x:c r="A15" s="3" t="str">
        <x:v>6ZZO</x:v>
      </x:c>
      <x:c r="B15" s="3" t="str">
        <x:v>A</x:v>
      </x:c>
      <x:c r="C15" s="3" t="str">
        <x:v>301</x:v>
      </x:c>
      <x:c r="D15" s="3" t="str">
        <x:v>NAD</x:v>
      </x:c>
      <x:c r="E15" s="3" t="str"/>
      <x:c r="F15" s="28" t="n">
        <x:v>0.972</x:v>
      </x:c>
      <x:c r="G15" s="28" t="n">
        <x:v>0.058</x:v>
      </x:c>
      <x:c r="H15" s="28" t="n">
        <x:v>1</x:v>
      </x:c>
      <x:c r="I15" s="28" t="n">
        <x:v>14.8</x:v>
      </x:c>
      <x:c r="J15" s="3" t="n">
        <x:v>1</x:v>
      </x:c>
      <x:c r="K15" s="3" t="n">
        <x:v>6</x:v>
      </x:c>
      <x:c r="L15" s="3" t="str">
        <x:v>Alternate conformers may share joint EDS statistics. This is not an independent observation or an automatic quality pass.</x:v>
      </x:c>
      <x:c r="M15" s="3" t="str">
        <x:v>https://files.rcsb.org/validation/view/6zzo_validation.xml</x:v>
      </x:c>
    </x:row>
    <x:row r="16" ht="42" customHeight="1">
      <x:c r="A16" s="3" t="str">
        <x:v>6ZZO</x:v>
      </x:c>
      <x:c r="B16" s="3" t="str">
        <x:v>A</x:v>
      </x:c>
      <x:c r="C16" s="3" t="str">
        <x:v>302</x:v>
      </x:c>
      <x:c r="D16" s="3" t="str">
        <x:v>AAE</x:v>
      </x:c>
      <x:c r="E16" s="3" t="str">
        <x:v>A</x:v>
      </x:c>
      <x:c r="F16" s="28" t="n">
        <x:v>0.776</x:v>
      </x:c>
      <x:c r="G16" s="28" t="n">
        <x:v>0.137</x:v>
      </x:c>
      <x:c r="H16" s="28" t="n">
        <x:v>0.5</x:v>
      </x:c>
      <x:c r="I16" s="28" t="n">
        <x:v>12.04</x:v>
      </x:c>
      <x:c r="J16" s="3" t="n">
        <x:v>3</x:v>
      </x:c>
      <x:c r="K16" s="3" t="n">
        <x:v>1</x:v>
      </x:c>
      <x:c r="L16" s="3" t="str">
        <x:v>Alternate conformers may share joint EDS statistics. This is not an independent observation or an automatic quality pass.</x:v>
      </x:c>
      <x:c r="M16" s="3" t="str">
        <x:v>https://files.rcsb.org/validation/view/6zzo_validation.xml</x:v>
      </x:c>
    </x:row>
    <x:row r="17" ht="42" customHeight="1">
      <x:c r="A17" s="3" t="str">
        <x:v>6ZZO</x:v>
      </x:c>
      <x:c r="B17" s="3" t="str">
        <x:v>A</x:v>
      </x:c>
      <x:c r="C17" s="3" t="str">
        <x:v>302</x:v>
      </x:c>
      <x:c r="D17" s="3" t="str">
        <x:v>AAE</x:v>
      </x:c>
      <x:c r="E17" s="3" t="str">
        <x:v>B</x:v>
      </x:c>
      <x:c r="F17" s="28" t="n">
        <x:v>0.776</x:v>
      </x:c>
      <x:c r="G17" s="28" t="n">
        <x:v>0.137</x:v>
      </x:c>
      <x:c r="H17" s="28" t="n">
        <x:v>0.5</x:v>
      </x:c>
      <x:c r="I17" s="28" t="n">
        <x:v>12.04</x:v>
      </x:c>
      <x:c r="J17" s="3" t="n">
        <x:v>0</x:v>
      </x:c>
      <x:c r="K17" s="3" t="n">
        <x:v>1</x:v>
      </x:c>
      <x:c r="L17" s="3" t="str">
        <x:v>Alternate conformers may share joint EDS statistics. This is not an independent observation or an automatic quality pass.</x:v>
      </x:c>
      <x:c r="M17" s="3" t="str">
        <x:v>https://files.rcsb.org/validation/view/6zzo_validation.xml</x:v>
      </x:c>
    </x:row>
    <x:row r="18" ht="42" customHeight="1">
      <x:c r="A18" s="3" t="str">
        <x:v>6ZZO</x:v>
      </x:c>
      <x:c r="B18" s="3" t="str">
        <x:v>B</x:v>
      </x:c>
      <x:c r="C18" s="3" t="str">
        <x:v>301</x:v>
      </x:c>
      <x:c r="D18" s="3" t="str">
        <x:v>NAD</x:v>
      </x:c>
      <x:c r="E18" s="3" t="str"/>
      <x:c r="F18" s="28" t="n">
        <x:v>0.986</x:v>
      </x:c>
      <x:c r="G18" s="28" t="n">
        <x:v>0.04</x:v>
      </x:c>
      <x:c r="H18" s="28" t="n">
        <x:v>1</x:v>
      </x:c>
      <x:c r="I18" s="28" t="n">
        <x:v>12.18</x:v>
      </x:c>
      <x:c r="J18" s="3" t="n">
        <x:v>0</x:v>
      </x:c>
      <x:c r="K18" s="3" t="n">
        <x:v>8</x:v>
      </x:c>
      <x:c r="L18" s="3" t="str">
        <x:v>Alternate conformers may share joint EDS statistics. This is not an independent observation or an automatic quality pass.</x:v>
      </x:c>
      <x:c r="M18" s="3" t="str">
        <x:v>https://files.rcsb.org/validation/view/6zzo_validation.xml</x:v>
      </x:c>
    </x:row>
    <x:row r="19" ht="42" customHeight="1">
      <x:c r="A19" s="3" t="str">
        <x:v>6ZZO</x:v>
      </x:c>
      <x:c r="B19" s="3" t="str">
        <x:v>B</x:v>
      </x:c>
      <x:c r="C19" s="3" t="str">
        <x:v>302</x:v>
      </x:c>
      <x:c r="D19" s="3" t="str">
        <x:v>AAE</x:v>
      </x:c>
      <x:c r="E19" s="3" t="str">
        <x:v>A</x:v>
      </x:c>
      <x:c r="F19" s="28" t="n">
        <x:v>0.909</x:v>
      </x:c>
      <x:c r="G19" s="28" t="n">
        <x:v>0.114</x:v>
      </x:c>
      <x:c r="H19" s="28" t="n">
        <x:v>0.5</x:v>
      </x:c>
      <x:c r="I19" s="28" t="n">
        <x:v>9.51</x:v>
      </x:c>
      <x:c r="J19" s="3" t="n">
        <x:v>0</x:v>
      </x:c>
      <x:c r="K19" s="3" t="n">
        <x:v>2</x:v>
      </x:c>
      <x:c r="L19" s="3" t="str">
        <x:v>Alternate conformers may share joint EDS statistics. This is not an independent observation or an automatic quality pass.</x:v>
      </x:c>
      <x:c r="M19" s="3" t="str">
        <x:v>https://files.rcsb.org/validation/view/6zzo_validation.xml</x:v>
      </x:c>
    </x:row>
    <x:row r="20" ht="42" customHeight="1">
      <x:c r="A20" s="3" t="str">
        <x:v>6ZZO</x:v>
      </x:c>
      <x:c r="B20" s="3" t="str">
        <x:v>B</x:v>
      </x:c>
      <x:c r="C20" s="3" t="str">
        <x:v>302</x:v>
      </x:c>
      <x:c r="D20" s="3" t="str">
        <x:v>AAE</x:v>
      </x:c>
      <x:c r="E20" s="3" t="str">
        <x:v>B</x:v>
      </x:c>
      <x:c r="F20" s="28" t="n">
        <x:v>0.909</x:v>
      </x:c>
      <x:c r="G20" s="28" t="n">
        <x:v>0.114</x:v>
      </x:c>
      <x:c r="H20" s="28" t="n">
        <x:v>0.5</x:v>
      </x:c>
      <x:c r="I20" s="28" t="n">
        <x:v>9.51</x:v>
      </x:c>
      <x:c r="J20" s="3" t="n">
        <x:v>3</x:v>
      </x:c>
      <x:c r="K20" s="3" t="n">
        <x:v>3</x:v>
      </x:c>
      <x:c r="L20" s="3" t="str">
        <x:v>Alternate conformers may share joint EDS statistics. This is not an independent observation or an automatic quality pass.</x:v>
      </x:c>
      <x:c r="M20" s="3" t="str">
        <x:v>https://files.rcsb.org/validation/view/6zzo_validation.xml</x:v>
      </x:c>
    </x:row>
    <x:row r="21" ht="42" customHeight="1">
      <x:c r="A21" s="3" t="str">
        <x:v>6ZZO</x:v>
      </x:c>
      <x:c r="B21" s="3" t="str">
        <x:v>C</x:v>
      </x:c>
      <x:c r="C21" s="3" t="str">
        <x:v>301</x:v>
      </x:c>
      <x:c r="D21" s="3" t="str">
        <x:v>NAD</x:v>
      </x:c>
      <x:c r="E21" s="3" t="str"/>
      <x:c r="F21" s="28" t="n">
        <x:v>0.99</x:v>
      </x:c>
      <x:c r="G21" s="28" t="n">
        <x:v>0.034</x:v>
      </x:c>
      <x:c r="H21" s="28" t="n">
        <x:v>1</x:v>
      </x:c>
      <x:c r="I21" s="28" t="n">
        <x:v>10.35</x:v>
      </x:c>
      <x:c r="J21" s="3" t="n">
        <x:v>1</x:v>
      </x:c>
      <x:c r="K21" s="3" t="n">
        <x:v>8</x:v>
      </x:c>
      <x:c r="L21" s="3" t="str">
        <x:v>Alternate conformers may share joint EDS statistics. This is not an independent observation or an automatic quality pass.</x:v>
      </x:c>
      <x:c r="M21" s="3" t="str">
        <x:v>https://files.rcsb.org/validation/view/6zzo_validation.xml</x:v>
      </x:c>
    </x:row>
    <x:row r="22" ht="42" customHeight="1">
      <x:c r="A22" s="3" t="str">
        <x:v>6ZZO</x:v>
      </x:c>
      <x:c r="B22" s="3" t="str">
        <x:v>C</x:v>
      </x:c>
      <x:c r="C22" s="3" t="str">
        <x:v>302</x:v>
      </x:c>
      <x:c r="D22" s="3" t="str">
        <x:v>AAE</x:v>
      </x:c>
      <x:c r="E22" s="3" t="str">
        <x:v>A</x:v>
      </x:c>
      <x:c r="F22" s="28" t="n">
        <x:v>0.898</x:v>
      </x:c>
      <x:c r="G22" s="28" t="n">
        <x:v>0.141</x:v>
      </x:c>
      <x:c r="H22" s="28" t="n">
        <x:v>0.5</x:v>
      </x:c>
      <x:c r="I22" s="28" t="n">
        <x:v>7.86</x:v>
      </x:c>
      <x:c r="J22" s="3" t="n">
        <x:v>4</x:v>
      </x:c>
      <x:c r="K22" s="3" t="n">
        <x:v>2</x:v>
      </x:c>
      <x:c r="L22" s="3" t="str">
        <x:v>Alternate conformers may share joint EDS statistics. This is not an independent observation or an automatic quality pass.</x:v>
      </x:c>
      <x:c r="M22" s="3" t="str">
        <x:v>https://files.rcsb.org/validation/view/6zzo_validation.xml</x:v>
      </x:c>
    </x:row>
    <x:row r="23" ht="42" customHeight="1">
      <x:c r="A23" s="3" t="str">
        <x:v>6ZZO</x:v>
      </x:c>
      <x:c r="B23" s="3" t="str">
        <x:v>C</x:v>
      </x:c>
      <x:c r="C23" s="3" t="str">
        <x:v>302</x:v>
      </x:c>
      <x:c r="D23" s="3" t="str">
        <x:v>AAE</x:v>
      </x:c>
      <x:c r="E23" s="3" t="str">
        <x:v>B</x:v>
      </x:c>
      <x:c r="F23" s="28" t="n">
        <x:v>0.898</x:v>
      </x:c>
      <x:c r="G23" s="28" t="n">
        <x:v>0.141</x:v>
      </x:c>
      <x:c r="H23" s="28" t="n">
        <x:v>0.5</x:v>
      </x:c>
      <x:c r="I23" s="28" t="n">
        <x:v>7.86</x:v>
      </x:c>
      <x:c r="J23" s="3" t="n">
        <x:v>4</x:v>
      </x:c>
      <x:c r="K23" s="3" t="n">
        <x:v>2</x:v>
      </x:c>
      <x:c r="L23" s="3" t="str">
        <x:v>Alternate conformers may share joint EDS statistics. This is not an independent observation or an automatic quality pass.</x:v>
      </x:c>
      <x:c r="M23" s="3" t="str">
        <x:v>https://files.rcsb.org/validation/view/6zzo_validation.xml</x:v>
      </x:c>
    </x:row>
    <x:row r="24" ht="42" customHeight="1">
      <x:c r="A24" s="3" t="str">
        <x:v>6ZZO</x:v>
      </x:c>
      <x:c r="B24" s="3" t="str">
        <x:v>D</x:v>
      </x:c>
      <x:c r="C24" s="3" t="str">
        <x:v>301</x:v>
      </x:c>
      <x:c r="D24" s="3" t="str">
        <x:v>NAD</x:v>
      </x:c>
      <x:c r="E24" s="3" t="str"/>
      <x:c r="F24" s="28" t="n">
        <x:v>0.98</x:v>
      </x:c>
      <x:c r="G24" s="28" t="n">
        <x:v>0.047</x:v>
      </x:c>
      <x:c r="H24" s="28" t="n">
        <x:v>1</x:v>
      </x:c>
      <x:c r="I24" s="28" t="n">
        <x:v>13.07</x:v>
      </x:c>
      <x:c r="J24" s="3" t="n">
        <x:v>1</x:v>
      </x:c>
      <x:c r="K24" s="3" t="n">
        <x:v>8</x:v>
      </x:c>
      <x:c r="L24" s="3" t="str">
        <x:v>Alternate conformers may share joint EDS statistics. This is not an independent observation or an automatic quality pass.</x:v>
      </x:c>
      <x:c r="M24" s="3" t="str">
        <x:v>https://files.rcsb.org/validation/view/6zzo_validation.xml</x:v>
      </x:c>
    </x:row>
    <x:row r="25" ht="42" customHeight="1">
      <x:c r="A25" s="3" t="str">
        <x:v>6ZZO</x:v>
      </x:c>
      <x:c r="B25" s="3" t="str">
        <x:v>D</x:v>
      </x:c>
      <x:c r="C25" s="3" t="str">
        <x:v>302</x:v>
      </x:c>
      <x:c r="D25" s="3" t="str">
        <x:v>AAE</x:v>
      </x:c>
      <x:c r="E25" s="3" t="str">
        <x:v>A</x:v>
      </x:c>
      <x:c r="F25" s="28" t="n">
        <x:v>0.837</x:v>
      </x:c>
      <x:c r="G25" s="28" t="n">
        <x:v>0.147</x:v>
      </x:c>
      <x:c r="H25" s="28" t="n">
        <x:v>0.5</x:v>
      </x:c>
      <x:c r="I25" s="28" t="n">
        <x:v>10.15</x:v>
      </x:c>
      <x:c r="J25" s="3" t="n">
        <x:v>4</x:v>
      </x:c>
      <x:c r="K25" s="3" t="n">
        <x:v>2</x:v>
      </x:c>
      <x:c r="L25" s="3" t="str">
        <x:v>Alternate conformers may share joint EDS statistics. This is not an independent observation or an automatic quality pass.</x:v>
      </x:c>
      <x:c r="M25" s="3" t="str">
        <x:v>https://files.rcsb.org/validation/view/6zzo_validation.xml</x:v>
      </x:c>
    </x:row>
    <x:row r="26" ht="42" customHeight="1">
      <x:c r="A26" s="3" t="str">
        <x:v>6ZZO</x:v>
      </x:c>
      <x:c r="B26" s="3" t="str">
        <x:v>D</x:v>
      </x:c>
      <x:c r="C26" s="3" t="str">
        <x:v>302</x:v>
      </x:c>
      <x:c r="D26" s="3" t="str">
        <x:v>AAE</x:v>
      </x:c>
      <x:c r="E26" s="3" t="str">
        <x:v>B</x:v>
      </x:c>
      <x:c r="F26" s="28" t="n">
        <x:v>0.837</x:v>
      </x:c>
      <x:c r="G26" s="28" t="n">
        <x:v>0.147</x:v>
      </x:c>
      <x:c r="H26" s="28" t="n">
        <x:v>0.5</x:v>
      </x:c>
      <x:c r="I26" s="28" t="n">
        <x:v>10.15</x:v>
      </x:c>
      <x:c r="J26" s="3" t="n">
        <x:v>0</x:v>
      </x:c>
      <x:c r="K26" s="3" t="n">
        <x:v>0</x:v>
      </x:c>
      <x:c r="L26" s="3" t="str">
        <x:v>Alternate conformers may share joint EDS statistics. This is not an independent observation or an automatic quality pass.</x:v>
      </x:c>
      <x:c r="M26" s="3" t="str">
        <x:v>https://files.rcsb.org/validation/view/6zzo_validation.xml</x:v>
      </x:c>
    </x:row>
    <x:row r="27" ht="42" customHeight="1">
      <x:c r="A27" s="3" t="str">
        <x:v>6ZZP</x:v>
      </x:c>
      <x:c r="B27" s="3" t="str">
        <x:v>A</x:v>
      </x:c>
      <x:c r="C27" s="3" t="str">
        <x:v>301</x:v>
      </x:c>
      <x:c r="D27" s="3" t="str">
        <x:v>NAD</x:v>
      </x:c>
      <x:c r="E27" s="3" t="str"/>
      <x:c r="F27" s="28" t="n">
        <x:v>0.984</x:v>
      </x:c>
      <x:c r="G27" s="28" t="n">
        <x:v>0.038</x:v>
      </x:c>
      <x:c r="H27" s="28" t="n">
        <x:v>1</x:v>
      </x:c>
      <x:c r="I27" s="28" t="n">
        <x:v>17.44</x:v>
      </x:c>
      <x:c r="J27" s="3" t="n">
        <x:v>0</x:v>
      </x:c>
      <x:c r="K27" s="3" t="n">
        <x:v>10</x:v>
      </x:c>
      <x:c r="L27" s="3" t="str">
        <x:v>Alternate conformers may share joint EDS statistics. This is not an independent observation or an automatic quality pass.</x:v>
      </x:c>
      <x:c r="M27" s="3" t="str">
        <x:v>https://files.rcsb.org/validation/view/6zzp_validation.xml</x:v>
      </x:c>
    </x:row>
    <x:row r="28" ht="42" customHeight="1">
      <x:c r="A28" s="3" t="str">
        <x:v>6ZZP</x:v>
      </x:c>
      <x:c r="B28" s="3" t="str">
        <x:v>A</x:v>
      </x:c>
      <x:c r="C28" s="3" t="str">
        <x:v>302</x:v>
      </x:c>
      <x:c r="D28" s="3" t="str">
        <x:v>QT8</x:v>
      </x:c>
      <x:c r="E28" s="3" t="str">
        <x:v>A</x:v>
      </x:c>
      <x:c r="F28" s="28" t="n">
        <x:v>0.906</x:v>
      </x:c>
      <x:c r="G28" s="28" t="n">
        <x:v>0.088</x:v>
      </x:c>
      <x:c r="H28" s="28" t="n">
        <x:v>0.5</x:v>
      </x:c>
      <x:c r="I28" s="28" t="n">
        <x:v>11.13</x:v>
      </x:c>
      <x:c r="J28" s="3" t="n">
        <x:v>2</x:v>
      </x:c>
      <x:c r="K28" s="3" t="n">
        <x:v>3</x:v>
      </x:c>
      <x:c r="L28" s="3" t="str">
        <x:v>Alternate conformers may share joint EDS statistics. This is not an independent observation or an automatic quality pass.</x:v>
      </x:c>
      <x:c r="M28" s="3" t="str">
        <x:v>https://files.rcsb.org/validation/view/6zzp_validation.xml</x:v>
      </x:c>
    </x:row>
    <x:row r="29" ht="42" customHeight="1">
      <x:c r="A29" s="3" t="str">
        <x:v>6ZZP</x:v>
      </x:c>
      <x:c r="B29" s="3" t="str">
        <x:v>A</x:v>
      </x:c>
      <x:c r="C29" s="3" t="str">
        <x:v>302</x:v>
      </x:c>
      <x:c r="D29" s="3" t="str">
        <x:v>QT8</x:v>
      </x:c>
      <x:c r="E29" s="3" t="str">
        <x:v>B</x:v>
      </x:c>
      <x:c r="F29" s="28" t="n">
        <x:v>0.906</x:v>
      </x:c>
      <x:c r="G29" s="28" t="n">
        <x:v>0.088</x:v>
      </x:c>
      <x:c r="H29" s="28" t="n">
        <x:v>0.5</x:v>
      </x:c>
      <x:c r="I29" s="28" t="n">
        <x:v>11.13</x:v>
      </x:c>
      <x:c r="J29" s="3" t="n">
        <x:v>5</x:v>
      </x:c>
      <x:c r="K29" s="3" t="n">
        <x:v>4</x:v>
      </x:c>
      <x:c r="L29" s="3" t="str">
        <x:v>Alternate conformers may share joint EDS statistics. This is not an independent observation or an automatic quality pass.</x:v>
      </x:c>
      <x:c r="M29" s="3" t="str">
        <x:v>https://files.rcsb.org/validation/view/6zzp_validation.xml</x:v>
      </x:c>
    </x:row>
    <x:row r="30" ht="42" customHeight="1">
      <x:c r="A30" s="3" t="str">
        <x:v>6ZZP</x:v>
      </x:c>
      <x:c r="B30" s="3" t="str">
        <x:v>B</x:v>
      </x:c>
      <x:c r="C30" s="3" t="str">
        <x:v>301</x:v>
      </x:c>
      <x:c r="D30" s="3" t="str">
        <x:v>NAD</x:v>
      </x:c>
      <x:c r="E30" s="3" t="str"/>
      <x:c r="F30" s="28" t="n">
        <x:v>0.969</x:v>
      </x:c>
      <x:c r="G30" s="28" t="n">
        <x:v>0.053</x:v>
      </x:c>
      <x:c r="H30" s="28" t="n">
        <x:v>1</x:v>
      </x:c>
      <x:c r="I30" s="28" t="n">
        <x:v>22.73</x:v>
      </x:c>
      <x:c r="J30" s="3" t="n">
        <x:v>1</x:v>
      </x:c>
      <x:c r="K30" s="3" t="n">
        <x:v>9</x:v>
      </x:c>
      <x:c r="L30" s="3" t="str">
        <x:v>Alternate conformers may share joint EDS statistics. This is not an independent observation or an automatic quality pass.</x:v>
      </x:c>
      <x:c r="M30" s="3" t="str">
        <x:v>https://files.rcsb.org/validation/view/6zzp_validation.xml</x:v>
      </x:c>
    </x:row>
    <x:row r="31" ht="42" customHeight="1">
      <x:c r="A31" s="3" t="str">
        <x:v>6ZZP</x:v>
      </x:c>
      <x:c r="B31" s="3" t="str">
        <x:v>B</x:v>
      </x:c>
      <x:c r="C31" s="3" t="str">
        <x:v>302</x:v>
      </x:c>
      <x:c r="D31" s="3" t="str">
        <x:v>QT8</x:v>
      </x:c>
      <x:c r="E31" s="3" t="str"/>
      <x:c r="F31" s="28" t="n">
        <x:v>0.839</x:v>
      </x:c>
      <x:c r="G31" s="28" t="n">
        <x:v>0.134</x:v>
      </x:c>
      <x:c r="H31" s="28" t="n">
        <x:v>1</x:v>
      </x:c>
      <x:c r="I31" s="28" t="n">
        <x:v>39.82</x:v>
      </x:c>
      <x:c r="J31" s="3" t="n">
        <x:v>1</x:v>
      </x:c>
      <x:c r="K31" s="3" t="n">
        <x:v>4</x:v>
      </x:c>
      <x:c r="L31" s="3" t="str">
        <x:v>Alternate conformers may share joint EDS statistics. This is not an independent observation or an automatic quality pass.</x:v>
      </x:c>
      <x:c r="M31" s="3" t="str">
        <x:v>https://files.rcsb.org/validation/view/6zzp_validation.xml</x:v>
      </x:c>
    </x:row>
    <x:row r="32" ht="42" customHeight="1">
      <x:c r="A32" s="3" t="str">
        <x:v>6ZZP</x:v>
      </x:c>
      <x:c r="B32" s="3" t="str">
        <x:v>C</x:v>
      </x:c>
      <x:c r="C32" s="3" t="str">
        <x:v>301</x:v>
      </x:c>
      <x:c r="D32" s="3" t="str">
        <x:v>NAD</x:v>
      </x:c>
      <x:c r="E32" s="3" t="str"/>
      <x:c r="F32" s="28" t="n">
        <x:v>0.975</x:v>
      </x:c>
      <x:c r="G32" s="28" t="n">
        <x:v>0.046</x:v>
      </x:c>
      <x:c r="H32" s="28" t="n">
        <x:v>1</x:v>
      </x:c>
      <x:c r="I32" s="28" t="n">
        <x:v>21.6</x:v>
      </x:c>
      <x:c r="J32" s="3" t="n">
        <x:v>1</x:v>
      </x:c>
      <x:c r="K32" s="3" t="n">
        <x:v>12</x:v>
      </x:c>
      <x:c r="L32" s="3" t="str">
        <x:v>Alternate conformers may share joint EDS statistics. This is not an independent observation or an automatic quality pass.</x:v>
      </x:c>
      <x:c r="M32" s="3" t="str">
        <x:v>https://files.rcsb.org/validation/view/6zzp_validation.xml</x:v>
      </x:c>
    </x:row>
    <x:row r="33" ht="42" customHeight="1">
      <x:c r="A33" s="3" t="str">
        <x:v>6ZZP</x:v>
      </x:c>
      <x:c r="B33" s="3" t="str">
        <x:v>C</x:v>
      </x:c>
      <x:c r="C33" s="3" t="str">
        <x:v>302</x:v>
      </x:c>
      <x:c r="D33" s="3" t="str">
        <x:v>QT8</x:v>
      </x:c>
      <x:c r="E33" s="3" t="str"/>
      <x:c r="F33" s="28" t="n">
        <x:v>0.844</x:v>
      </x:c>
      <x:c r="G33" s="28" t="n">
        <x:v>0.125</x:v>
      </x:c>
      <x:c r="H33" s="28" t="n">
        <x:v>1</x:v>
      </x:c>
      <x:c r="I33" s="28" t="n">
        <x:v>35.42</x:v>
      </x:c>
      <x:c r="J33" s="3" t="n">
        <x:v>1</x:v>
      </x:c>
      <x:c r="K33" s="3" t="n">
        <x:v>5</x:v>
      </x:c>
      <x:c r="L33" s="3" t="str">
        <x:v>Alternate conformers may share joint EDS statistics. This is not an independent observation or an automatic quality pass.</x:v>
      </x:c>
      <x:c r="M33" s="3" t="str">
        <x:v>https://files.rcsb.org/validation/view/6zzp_validation.xml</x:v>
      </x:c>
    </x:row>
    <x:row r="34" ht="42" customHeight="1">
      <x:c r="A34" s="3" t="str">
        <x:v>6ZZP</x:v>
      </x:c>
      <x:c r="B34" s="3" t="str">
        <x:v>D</x:v>
      </x:c>
      <x:c r="C34" s="3" t="str">
        <x:v>301</x:v>
      </x:c>
      <x:c r="D34" s="3" t="str">
        <x:v>NAD</x:v>
      </x:c>
      <x:c r="E34" s="3" t="str"/>
      <x:c r="F34" s="28" t="n">
        <x:v>0.969</x:v>
      </x:c>
      <x:c r="G34" s="28" t="n">
        <x:v>0.054</x:v>
      </x:c>
      <x:c r="H34" s="28" t="n">
        <x:v>1</x:v>
      </x:c>
      <x:c r="I34" s="28" t="n">
        <x:v>23.87</x:v>
      </x:c>
      <x:c r="J34" s="3" t="n">
        <x:v>0</x:v>
      </x:c>
      <x:c r="K34" s="3" t="n">
        <x:v>9</x:v>
      </x:c>
      <x:c r="L34" s="3" t="str">
        <x:v>Alternate conformers may share joint EDS statistics. This is not an independent observation or an automatic quality pass.</x:v>
      </x:c>
      <x:c r="M34" s="3" t="str">
        <x:v>https://files.rcsb.org/validation/view/6zzp_validation.xml</x:v>
      </x:c>
    </x:row>
    <x:row r="35" ht="42" customHeight="1">
      <x:c r="A35" s="3" t="str">
        <x:v>6ZZP</x:v>
      </x:c>
      <x:c r="B35" s="3" t="str">
        <x:v>D</x:v>
      </x:c>
      <x:c r="C35" s="3" t="str">
        <x:v>302</x:v>
      </x:c>
      <x:c r="D35" s="3" t="str">
        <x:v>QT8</x:v>
      </x:c>
      <x:c r="E35" s="3" t="str"/>
      <x:c r="F35" s="28" t="n">
        <x:v>0.832</x:v>
      </x:c>
      <x:c r="G35" s="28" t="n">
        <x:v>0.133</x:v>
      </x:c>
      <x:c r="H35" s="28" t="n">
        <x:v>1</x:v>
      </x:c>
      <x:c r="I35" s="28" t="n">
        <x:v>42.57</x:v>
      </x:c>
      <x:c r="J35" s="3" t="n">
        <x:v>2</x:v>
      </x:c>
      <x:c r="K35" s="3" t="n">
        <x:v>6</x:v>
      </x:c>
      <x:c r="L35" s="3" t="str">
        <x:v>Alternate conformers may share joint EDS statistics. This is not an independent observation or an automatic quality pass.</x:v>
      </x:c>
      <x:c r="M35" s="3" t="str">
        <x:v>https://files.rcsb.org/validation/view/6zzp_validation.xml</x:v>
      </x:c>
    </x:row>
    <x:row r="36" ht="42" customHeight="1">
      <x:c r="A36" s="3" t="str">
        <x:v>6ZZQ</x:v>
      </x:c>
      <x:c r="B36" s="3" t="str">
        <x:v>A</x:v>
      </x:c>
      <x:c r="C36" s="3" t="str">
        <x:v>301</x:v>
      </x:c>
      <x:c r="D36" s="3" t="str">
        <x:v>NAD</x:v>
      </x:c>
      <x:c r="E36" s="3" t="str"/>
      <x:c r="F36" s="28" t="n">
        <x:v>0.923</x:v>
      </x:c>
      <x:c r="G36" s="28" t="n">
        <x:v>0.079</x:v>
      </x:c>
      <x:c r="H36" s="28" t="n">
        <x:v>1</x:v>
      </x:c>
      <x:c r="I36" s="28" t="n">
        <x:v>37.15</x:v>
      </x:c>
      <x:c r="J36" s="3" t="n">
        <x:v>5</x:v>
      </x:c>
      <x:c r="K36" s="3" t="n">
        <x:v>16</x:v>
      </x:c>
      <x:c r="L36" s="3" t="str">
        <x:v>Alternate conformers may share joint EDS statistics. This is not an independent observation or an automatic quality pass.</x:v>
      </x:c>
      <x:c r="M36" s="3" t="str">
        <x:v>https://files.rcsb.org/validation/view/6zzq_validation.xml</x:v>
      </x:c>
    </x:row>
    <x:row r="37" ht="42" customHeight="1">
      <x:c r="A37" s="3" t="str">
        <x:v>6ZZQ</x:v>
      </x:c>
      <x:c r="B37" s="3" t="str">
        <x:v>A</x:v>
      </x:c>
      <x:c r="C37" s="3" t="str">
        <x:v>302</x:v>
      </x:c>
      <x:c r="D37" s="3" t="str">
        <x:v>AAE</x:v>
      </x:c>
      <x:c r="E37" s="3" t="str"/>
      <x:c r="F37" s="28" t="n">
        <x:v>0.775</x:v>
      </x:c>
      <x:c r="G37" s="28" t="n">
        <x:v>0.168</x:v>
      </x:c>
      <x:c r="H37" s="28" t="n">
        <x:v>1</x:v>
      </x:c>
      <x:c r="I37" s="28" t="n">
        <x:v>62.78</x:v>
      </x:c>
      <x:c r="J37" s="3" t="n">
        <x:v>3</x:v>
      </x:c>
      <x:c r="K37" s="3" t="n">
        <x:v>3</x:v>
      </x:c>
      <x:c r="L37" s="3" t="str">
        <x:v>Alternate conformers may share joint EDS statistics. This is not an independent observation or an automatic quality pass.</x:v>
      </x:c>
      <x:c r="M37" s="3" t="str">
        <x:v>https://files.rcsb.org/validation/view/6zzq_validation.xml</x:v>
      </x:c>
    </x:row>
    <x:row r="38" ht="42" customHeight="1">
      <x:c r="A38" s="3" t="str">
        <x:v>6ZZQ</x:v>
      </x:c>
      <x:c r="B38" s="3" t="str">
        <x:v>A</x:v>
      </x:c>
      <x:c r="C38" s="3" t="str">
        <x:v>303</x:v>
      </x:c>
      <x:c r="D38" s="3" t="str">
        <x:v>AAE</x:v>
      </x:c>
      <x:c r="E38" s="3" t="str"/>
      <x:c r="F38" s="28" t="n">
        <x:v>0.763</x:v>
      </x:c>
      <x:c r="G38" s="28" t="n">
        <x:v>0.166</x:v>
      </x:c>
      <x:c r="H38" s="28" t="n">
        <x:v>1</x:v>
      </x:c>
      <x:c r="I38" s="28" t="n">
        <x:v>66.76</x:v>
      </x:c>
      <x:c r="J38" s="3" t="n">
        <x:v>1</x:v>
      </x:c>
      <x:c r="K38" s="3" t="n">
        <x:v>4</x:v>
      </x:c>
      <x:c r="L38" s="3" t="str">
        <x:v>Alternate conformers may share joint EDS statistics. This is not an independent observation or an automatic quality pass.</x:v>
      </x:c>
      <x:c r="M38" s="3" t="str">
        <x:v>https://files.rcsb.org/validation/view/6zzq_validation.xml</x:v>
      </x:c>
    </x:row>
    <x:row r="39" ht="42" customHeight="1">
      <x:c r="A39" s="3" t="str">
        <x:v>6ZZS</x:v>
      </x:c>
      <x:c r="B39" s="3" t="str">
        <x:v>A</x:v>
      </x:c>
      <x:c r="C39" s="3" t="str">
        <x:v>301</x:v>
      </x:c>
      <x:c r="D39" s="3" t="str">
        <x:v>NAD</x:v>
      </x:c>
      <x:c r="E39" s="3" t="str">
        <x:v>A</x:v>
      </x:c>
      <x:c r="F39" s="28" t="n">
        <x:v>0.844</x:v>
      </x:c>
      <x:c r="G39" s="28" t="n">
        <x:v>0.126</x:v>
      </x:c>
      <x:c r="H39" s="28" t="n">
        <x:v>0.5</x:v>
      </x:c>
      <x:c r="I39" s="28" t="n">
        <x:v>17.21</x:v>
      </x:c>
      <x:c r="J39" s="3" t="n">
        <x:v>0</x:v>
      </x:c>
      <x:c r="K39" s="3" t="n">
        <x:v>16</x:v>
      </x:c>
      <x:c r="L39" s="3" t="str">
        <x:v>Alternate conformers may share joint EDS statistics. This is not an independent observation or an automatic quality pass.</x:v>
      </x:c>
      <x:c r="M39" s="3" t="str">
        <x:v>https://files.rcsb.org/validation/view/6zzs_validation.xml</x:v>
      </x:c>
    </x:row>
    <x:row r="40" ht="42" customHeight="1">
      <x:c r="A40" s="3" t="str">
        <x:v>6ZZS</x:v>
      </x:c>
      <x:c r="B40" s="3" t="str">
        <x:v>A</x:v>
      </x:c>
      <x:c r="C40" s="3" t="str">
        <x:v>301</x:v>
      </x:c>
      <x:c r="D40" s="3" t="str">
        <x:v>NAD</x:v>
      </x:c>
      <x:c r="E40" s="3" t="str">
        <x:v>B</x:v>
      </x:c>
      <x:c r="F40" s="28" t="n">
        <x:v>0.844</x:v>
      </x:c>
      <x:c r="G40" s="28" t="n">
        <x:v>0.126</x:v>
      </x:c>
      <x:c r="H40" s="28" t="n">
        <x:v>0.5</x:v>
      </x:c>
      <x:c r="I40" s="28" t="n">
        <x:v>17.21</x:v>
      </x:c>
      <x:c r="J40" s="3" t="n">
        <x:v>2</x:v>
      </x:c>
      <x:c r="K40" s="3" t="n">
        <x:v>12</x:v>
      </x:c>
      <x:c r="L40" s="3" t="str">
        <x:v>Alternate conformers may share joint EDS statistics. This is not an independent observation or an automatic quality pass.</x:v>
      </x:c>
      <x:c r="M40" s="3" t="str">
        <x:v>https://files.rcsb.org/validation/view/6zzs_validation.xml</x:v>
      </x:c>
    </x:row>
    <x:row r="41" ht="42" customHeight="1">
      <x:c r="A41" s="3" t="str">
        <x:v>6ZZS</x:v>
      </x:c>
      <x:c r="B41" s="3" t="str">
        <x:v>A</x:v>
      </x:c>
      <x:c r="C41" s="3" t="str">
        <x:v>302</x:v>
      </x:c>
      <x:c r="D41" s="3" t="str">
        <x:v>QT8</x:v>
      </x:c>
      <x:c r="E41" s="3" t="str"/>
      <x:c r="F41" s="28" t="n">
        <x:v>0.708</x:v>
      </x:c>
      <x:c r="G41" s="28" t="n">
        <x:v>0.21</x:v>
      </x:c>
      <x:c r="H41" s="28" t="n">
        <x:v>1</x:v>
      </x:c>
      <x:c r="I41" s="28" t="n">
        <x:v>62.75</x:v>
      </x:c>
      <x:c r="J41" s="3" t="n">
        <x:v>2</x:v>
      </x:c>
      <x:c r="K41" s="3" t="n">
        <x:v>4</x:v>
      </x:c>
      <x:c r="L41" s="3" t="str">
        <x:v>Alternate conformers may share joint EDS statistics. This is not an independent observation or an automatic quality pass.</x:v>
      </x:c>
      <x:c r="M41" s="3" t="str">
        <x:v>https://files.rcsb.org/validation/view/6zzs_validation.xml</x:v>
      </x:c>
    </x:row>
    <x:row r="42" ht="42" customHeight="1">
      <x:c r="A42" s="3" t="str">
        <x:v>6ZZS</x:v>
      </x:c>
      <x:c r="B42" s="3" t="str">
        <x:v>B</x:v>
      </x:c>
      <x:c r="C42" s="3" t="str">
        <x:v>301</x:v>
      </x:c>
      <x:c r="D42" s="3" t="str">
        <x:v>NAD</x:v>
      </x:c>
      <x:c r="E42" s="3" t="str">
        <x:v>A</x:v>
      </x:c>
      <x:c r="F42" s="28" t="n">
        <x:v>0.86</x:v>
      </x:c>
      <x:c r="G42" s="28" t="n">
        <x:v>0.092</x:v>
      </x:c>
      <x:c r="H42" s="28" t="n">
        <x:v>0.5</x:v>
      </x:c>
      <x:c r="I42" s="28" t="n">
        <x:v>15.36</x:v>
      </x:c>
      <x:c r="J42" s="3" t="n">
        <x:v>1</x:v>
      </x:c>
      <x:c r="K42" s="3" t="n">
        <x:v>12</x:v>
      </x:c>
      <x:c r="L42" s="3" t="str">
        <x:v>Alternate conformers may share joint EDS statistics. This is not an independent observation or an automatic quality pass.</x:v>
      </x:c>
      <x:c r="M42" s="3" t="str">
        <x:v>https://files.rcsb.org/validation/view/6zzs_validation.xml</x:v>
      </x:c>
    </x:row>
    <x:row r="43" ht="42" customHeight="1">
      <x:c r="A43" s="3" t="str">
        <x:v>6ZZS</x:v>
      </x:c>
      <x:c r="B43" s="3" t="str">
        <x:v>B</x:v>
      </x:c>
      <x:c r="C43" s="3" t="str">
        <x:v>301</x:v>
      </x:c>
      <x:c r="D43" s="3" t="str">
        <x:v>NAD</x:v>
      </x:c>
      <x:c r="E43" s="3" t="str">
        <x:v>B</x:v>
      </x:c>
      <x:c r="F43" s="28" t="n">
        <x:v>0.86</x:v>
      </x:c>
      <x:c r="G43" s="28" t="n">
        <x:v>0.092</x:v>
      </x:c>
      <x:c r="H43" s="28" t="n">
        <x:v>0.5</x:v>
      </x:c>
      <x:c r="I43" s="28" t="n">
        <x:v>15.36</x:v>
      </x:c>
      <x:c r="J43" s="3" t="n">
        <x:v>1</x:v>
      </x:c>
      <x:c r="K43" s="3" t="n">
        <x:v>9</x:v>
      </x:c>
      <x:c r="L43" s="3" t="str">
        <x:v>Alternate conformers may share joint EDS statistics. This is not an independent observation or an automatic quality pass.</x:v>
      </x:c>
      <x:c r="M43" s="3" t="str">
        <x:v>https://files.rcsb.org/validation/view/6zzs_validation.xml</x:v>
      </x:c>
    </x:row>
    <x:row r="44" ht="42" customHeight="1">
      <x:c r="A44" s="3" t="str">
        <x:v>6ZZS</x:v>
      </x:c>
      <x:c r="B44" s="3" t="str">
        <x:v>B</x:v>
      </x:c>
      <x:c r="C44" s="3" t="str">
        <x:v>302</x:v>
      </x:c>
      <x:c r="D44" s="3" t="str">
        <x:v>QT8</x:v>
      </x:c>
      <x:c r="E44" s="3" t="str"/>
      <x:c r="F44" s="28" t="n">
        <x:v>0.806</x:v>
      </x:c>
      <x:c r="G44" s="28" t="n">
        <x:v>0.179</x:v>
      </x:c>
      <x:c r="H44" s="28" t="n">
        <x:v>1</x:v>
      </x:c>
      <x:c r="I44" s="28" t="n">
        <x:v>67.61</x:v>
      </x:c>
      <x:c r="J44" s="3" t="n">
        <x:v>0</x:v>
      </x:c>
      <x:c r="K44" s="3" t="n">
        <x:v>4</x:v>
      </x:c>
      <x:c r="L44" s="3" t="str">
        <x:v>Alternate conformers may share joint EDS statistics. This is not an independent observation or an automatic quality pass.</x:v>
      </x:c>
      <x:c r="M44" s="3" t="str">
        <x:v>https://files.rcsb.org/validation/view/6zzs_validation.xml</x:v>
      </x:c>
    </x:row>
    <x:row r="45" ht="42" customHeight="1">
      <x:c r="A45" s="3" t="str">
        <x:v>6ZZS</x:v>
      </x:c>
      <x:c r="B45" s="3" t="str">
        <x:v>C</x:v>
      </x:c>
      <x:c r="C45" s="3" t="str">
        <x:v>301</x:v>
      </x:c>
      <x:c r="D45" s="3" t="str">
        <x:v>NAD</x:v>
      </x:c>
      <x:c r="E45" s="3" t="str">
        <x:v>A</x:v>
      </x:c>
      <x:c r="F45" s="28" t="n">
        <x:v>0.904</x:v>
      </x:c>
      <x:c r="G45" s="28" t="n">
        <x:v>0.081</x:v>
      </x:c>
      <x:c r="H45" s="28" t="n">
        <x:v>0.5</x:v>
      </x:c>
      <x:c r="I45" s="28" t="n">
        <x:v>17.61</x:v>
      </x:c>
      <x:c r="J45" s="3" t="n">
        <x:v>1</x:v>
      </x:c>
      <x:c r="K45" s="3" t="n">
        <x:v>7</x:v>
      </x:c>
      <x:c r="L45" s="3" t="str">
        <x:v>Alternate conformers may share joint EDS statistics. This is not an independent observation or an automatic quality pass.</x:v>
      </x:c>
      <x:c r="M45" s="3" t="str">
        <x:v>https://files.rcsb.org/validation/view/6zzs_validation.xml</x:v>
      </x:c>
    </x:row>
    <x:row r="46" ht="42" customHeight="1">
      <x:c r="A46" s="3" t="str">
        <x:v>6ZZS</x:v>
      </x:c>
      <x:c r="B46" s="3" t="str">
        <x:v>C</x:v>
      </x:c>
      <x:c r="C46" s="3" t="str">
        <x:v>301</x:v>
      </x:c>
      <x:c r="D46" s="3" t="str">
        <x:v>NAD</x:v>
      </x:c>
      <x:c r="E46" s="3" t="str">
        <x:v>B</x:v>
      </x:c>
      <x:c r="F46" s="28" t="n">
        <x:v>0.904</x:v>
      </x:c>
      <x:c r="G46" s="28" t="n">
        <x:v>0.081</x:v>
      </x:c>
      <x:c r="H46" s="28" t="n">
        <x:v>0.5</x:v>
      </x:c>
      <x:c r="I46" s="28" t="n">
        <x:v>17.61</x:v>
      </x:c>
      <x:c r="J46" s="3" t="n">
        <x:v>0</x:v>
      </x:c>
      <x:c r="K46" s="3" t="n">
        <x:v>6</x:v>
      </x:c>
      <x:c r="L46" s="3" t="str">
        <x:v>Alternate conformers may share joint EDS statistics. This is not an independent observation or an automatic quality pass.</x:v>
      </x:c>
      <x:c r="M46" s="3" t="str">
        <x:v>https://files.rcsb.org/validation/view/6zzs_validation.xml</x:v>
      </x:c>
    </x:row>
    <x:row r="47" ht="42" customHeight="1">
      <x:c r="A47" s="3" t="str">
        <x:v>6ZZS</x:v>
      </x:c>
      <x:c r="B47" s="3" t="str">
        <x:v>C</x:v>
      </x:c>
      <x:c r="C47" s="3" t="str">
        <x:v>302</x:v>
      </x:c>
      <x:c r="D47" s="3" t="str">
        <x:v>QT8</x:v>
      </x:c>
      <x:c r="E47" s="3" t="str"/>
      <x:c r="F47" s="28" t="n">
        <x:v>0.776</x:v>
      </x:c>
      <x:c r="G47" s="28" t="n">
        <x:v>0.2</x:v>
      </x:c>
      <x:c r="H47" s="28" t="n">
        <x:v>1</x:v>
      </x:c>
      <x:c r="I47" s="28" t="n">
        <x:v>62.13</x:v>
      </x:c>
      <x:c r="J47" s="3" t="n">
        <x:v>1</x:v>
      </x:c>
      <x:c r="K47" s="3" t="n">
        <x:v>3</x:v>
      </x:c>
      <x:c r="L47" s="3" t="str">
        <x:v>Alternate conformers may share joint EDS statistics. This is not an independent observation or an automatic quality pass.</x:v>
      </x:c>
      <x:c r="M47" s="3" t="str">
        <x:v>https://files.rcsb.org/validation/view/6zzs_validation.xml</x:v>
      </x:c>
    </x:row>
    <x:row r="48" ht="42" customHeight="1">
      <x:c r="A48" s="3" t="str">
        <x:v>6ZZS</x:v>
      </x:c>
      <x:c r="B48" s="3" t="str">
        <x:v>C</x:v>
      </x:c>
      <x:c r="C48" s="3" t="str">
        <x:v>303</x:v>
      </x:c>
      <x:c r="D48" s="3" t="str">
        <x:v>QT8</x:v>
      </x:c>
      <x:c r="E48" s="3" t="str"/>
      <x:c r="F48" s="28" t="n">
        <x:v>0.659</x:v>
      </x:c>
      <x:c r="G48" s="28" t="n">
        <x:v>0.188</x:v>
      </x:c>
      <x:c r="H48" s="28" t="n">
        <x:v>1</x:v>
      </x:c>
      <x:c r="I48" s="28" t="n">
        <x:v>63.26</x:v>
      </x:c>
      <x:c r="J48" s="3" t="n">
        <x:v>0</x:v>
      </x:c>
      <x:c r="K48" s="3" t="n">
        <x:v>4</x:v>
      </x:c>
      <x:c r="L48" s="3" t="str">
        <x:v>Alternate conformers may share joint EDS statistics. This is not an independent observation or an automatic quality pass.</x:v>
      </x:c>
      <x:c r="M48" s="3" t="str">
        <x:v>https://files.rcsb.org/validation/view/6zzs_validation.xml</x:v>
      </x:c>
    </x:row>
    <x:row r="49" ht="42" customHeight="1">
      <x:c r="A49" s="3" t="str">
        <x:v>6ZZS</x:v>
      </x:c>
      <x:c r="B49" s="3" t="str">
        <x:v>D</x:v>
      </x:c>
      <x:c r="C49" s="3" t="str">
        <x:v>301</x:v>
      </x:c>
      <x:c r="D49" s="3" t="str">
        <x:v>NAD</x:v>
      </x:c>
      <x:c r="E49" s="3" t="str">
        <x:v>A</x:v>
      </x:c>
      <x:c r="F49" s="28" t="n">
        <x:v>0.89</x:v>
      </x:c>
      <x:c r="G49" s="28" t="n">
        <x:v>0.083</x:v>
      </x:c>
      <x:c r="H49" s="28" t="n">
        <x:v>0.5</x:v>
      </x:c>
      <x:c r="I49" s="28" t="n">
        <x:v>17.9</x:v>
      </x:c>
      <x:c r="J49" s="3" t="n">
        <x:v>0</x:v>
      </x:c>
      <x:c r="K49" s="3" t="n">
        <x:v>12</x:v>
      </x:c>
      <x:c r="L49" s="3" t="str">
        <x:v>Alternate conformers may share joint EDS statistics. This is not an independent observation or an automatic quality pass.</x:v>
      </x:c>
      <x:c r="M49" s="3" t="str">
        <x:v>https://files.rcsb.org/validation/view/6zzs_validation.xml</x:v>
      </x:c>
    </x:row>
    <x:row r="50" ht="42" customHeight="1">
      <x:c r="A50" s="3" t="str">
        <x:v>6ZZS</x:v>
      </x:c>
      <x:c r="B50" s="3" t="str">
        <x:v>D</x:v>
      </x:c>
      <x:c r="C50" s="3" t="str">
        <x:v>301</x:v>
      </x:c>
      <x:c r="D50" s="3" t="str">
        <x:v>NAD</x:v>
      </x:c>
      <x:c r="E50" s="3" t="str">
        <x:v>B</x:v>
      </x:c>
      <x:c r="F50" s="28" t="n">
        <x:v>0.89</x:v>
      </x:c>
      <x:c r="G50" s="28" t="n">
        <x:v>0.083</x:v>
      </x:c>
      <x:c r="H50" s="28" t="n">
        <x:v>0.5</x:v>
      </x:c>
      <x:c r="I50" s="28" t="n">
        <x:v>17.9</x:v>
      </x:c>
      <x:c r="J50" s="3" t="n">
        <x:v>0</x:v>
      </x:c>
      <x:c r="K50" s="3" t="n">
        <x:v>11</x:v>
      </x:c>
      <x:c r="L50" s="3" t="str">
        <x:v>Alternate conformers may share joint EDS statistics. This is not an independent observation or an automatic quality pass.</x:v>
      </x:c>
      <x:c r="M50" s="3" t="str">
        <x:v>https://files.rcsb.org/validation/view/6zzs_validation.xml</x:v>
      </x:c>
    </x:row>
    <x:row r="51" ht="42" customHeight="1">
      <x:c r="A51" s="3" t="str">
        <x:v>6ZZS</x:v>
      </x:c>
      <x:c r="B51" s="3" t="str">
        <x:v>D</x:v>
      </x:c>
      <x:c r="C51" s="3" t="str">
        <x:v>302</x:v>
      </x:c>
      <x:c r="D51" s="3" t="str">
        <x:v>QT8</x:v>
      </x:c>
      <x:c r="E51" s="3" t="str"/>
      <x:c r="F51" s="28" t="n">
        <x:v>0.687</x:v>
      </x:c>
      <x:c r="G51" s="28" t="n">
        <x:v>0.193</x:v>
      </x:c>
      <x:c r="H51" s="28" t="n">
        <x:v>1</x:v>
      </x:c>
      <x:c r="I51" s="28" t="n">
        <x:v>57.62</x:v>
      </x:c>
      <x:c r="J51" s="3" t="n">
        <x:v>2</x:v>
      </x:c>
      <x:c r="K51" s="3" t="n">
        <x:v>7</x:v>
      </x:c>
      <x:c r="L51" s="3" t="str">
        <x:v>Alternate conformers may share joint EDS statistics. This is not an independent observation or an automatic quality pass.</x:v>
      </x:c>
      <x:c r="M51" s="3" t="str">
        <x:v>https://files.rcsb.org/validation/view/6zzs_validation.xml</x:v>
      </x:c>
    </x:row>
    <x:row r="52" ht="42" customHeight="1">
      <x:c r="A52" s="3" t="str">
        <x:v>6ZZS</x:v>
      </x:c>
      <x:c r="B52" s="3" t="str">
        <x:v>E</x:v>
      </x:c>
      <x:c r="C52" s="3" t="str">
        <x:v>301</x:v>
      </x:c>
      <x:c r="D52" s="3" t="str">
        <x:v>NAD</x:v>
      </x:c>
      <x:c r="E52" s="3" t="str">
        <x:v>A</x:v>
      </x:c>
      <x:c r="F52" s="28" t="n">
        <x:v>0.816</x:v>
      </x:c>
      <x:c r="G52" s="28" t="n">
        <x:v>0.117</x:v>
      </x:c>
      <x:c r="H52" s="28" t="n">
        <x:v>0.5</x:v>
      </x:c>
      <x:c r="I52" s="28" t="n">
        <x:v>19.99</x:v>
      </x:c>
      <x:c r="J52" s="3" t="n">
        <x:v>0</x:v>
      </x:c>
      <x:c r="K52" s="3" t="n">
        <x:v>8</x:v>
      </x:c>
      <x:c r="L52" s="3" t="str">
        <x:v>Alternate conformers may share joint EDS statistics. This is not an independent observation or an automatic quality pass.</x:v>
      </x:c>
      <x:c r="M52" s="3" t="str">
        <x:v>https://files.rcsb.org/validation/view/6zzs_validation.xml</x:v>
      </x:c>
    </x:row>
    <x:row r="53" ht="42" customHeight="1">
      <x:c r="A53" s="3" t="str">
        <x:v>6ZZS</x:v>
      </x:c>
      <x:c r="B53" s="3" t="str">
        <x:v>E</x:v>
      </x:c>
      <x:c r="C53" s="3" t="str">
        <x:v>301</x:v>
      </x:c>
      <x:c r="D53" s="3" t="str">
        <x:v>NAD</x:v>
      </x:c>
      <x:c r="E53" s="3" t="str">
        <x:v>B</x:v>
      </x:c>
      <x:c r="F53" s="28" t="n">
        <x:v>0.816</x:v>
      </x:c>
      <x:c r="G53" s="28" t="n">
        <x:v>0.117</x:v>
      </x:c>
      <x:c r="H53" s="28" t="n">
        <x:v>0.5</x:v>
      </x:c>
      <x:c r="I53" s="28" t="n">
        <x:v>19.99</x:v>
      </x:c>
      <x:c r="J53" s="3" t="n">
        <x:v>1</x:v>
      </x:c>
      <x:c r="K53" s="3" t="n">
        <x:v>13</x:v>
      </x:c>
      <x:c r="L53" s="3" t="str">
        <x:v>Alternate conformers may share joint EDS statistics. This is not an independent observation or an automatic quality pass.</x:v>
      </x:c>
      <x:c r="M53" s="3" t="str">
        <x:v>https://files.rcsb.org/validation/view/6zzs_validation.xml</x:v>
      </x:c>
    </x:row>
    <x:row r="54" ht="42" customHeight="1">
      <x:c r="A54" s="3" t="str">
        <x:v>6ZZS</x:v>
      </x:c>
      <x:c r="B54" s="3" t="str">
        <x:v>F</x:v>
      </x:c>
      <x:c r="C54" s="3" t="str">
        <x:v>301</x:v>
      </x:c>
      <x:c r="D54" s="3" t="str">
        <x:v>NAD</x:v>
      </x:c>
      <x:c r="E54" s="3" t="str"/>
      <x:c r="F54" s="28" t="n">
        <x:v>0.895</x:v>
      </x:c>
      <x:c r="G54" s="28" t="n">
        <x:v>0.088</x:v>
      </x:c>
      <x:c r="H54" s="28" t="n">
        <x:v>1</x:v>
      </x:c>
      <x:c r="I54" s="28" t="n">
        <x:v>45.63</x:v>
      </x:c>
      <x:c r="J54" s="3" t="n">
        <x:v>0</x:v>
      </x:c>
      <x:c r="K54" s="3" t="n">
        <x:v>5</x:v>
      </x:c>
      <x:c r="L54" s="3" t="str">
        <x:v>Alternate conformers may share joint EDS statistics. This is not an independent observation or an automatic quality pass.</x:v>
      </x:c>
      <x:c r="M54" s="3" t="str">
        <x:v>https://files.rcsb.org/validation/view/6zzs_validation.xml</x:v>
      </x:c>
    </x:row>
    <x:row r="55" ht="42" customHeight="1">
      <x:c r="A55" s="3" t="str">
        <x:v>6ZZS</x:v>
      </x:c>
      <x:c r="B55" s="3" t="str">
        <x:v>F</x:v>
      </x:c>
      <x:c r="C55" s="3" t="str">
        <x:v>302</x:v>
      </x:c>
      <x:c r="D55" s="3" t="str">
        <x:v>QT8</x:v>
      </x:c>
      <x:c r="E55" s="3" t="str"/>
      <x:c r="F55" s="28" t="n">
        <x:v>0.708</x:v>
      </x:c>
      <x:c r="G55" s="28" t="n">
        <x:v>0.199</x:v>
      </x:c>
      <x:c r="H55" s="28" t="n">
        <x:v>1</x:v>
      </x:c>
      <x:c r="I55" s="28" t="n">
        <x:v>70.33</x:v>
      </x:c>
      <x:c r="J55" s="3" t="n">
        <x:v>0</x:v>
      </x:c>
      <x:c r="K55" s="3" t="n">
        <x:v>6</x:v>
      </x:c>
      <x:c r="L55" s="3" t="str">
        <x:v>Alternate conformers may share joint EDS statistics. This is not an independent observation or an automatic quality pass.</x:v>
      </x:c>
      <x:c r="M55" s="3" t="str">
        <x:v>https://files.rcsb.org/validation/view/6zzs_validation.xml</x:v>
      </x:c>
    </x:row>
    <x:row r="56" ht="42" customHeight="1">
      <x:c r="A56" s="3" t="str">
        <x:v>4RF2</x:v>
      </x:c>
      <x:c r="B56" s="3" t="str">
        <x:v>A</x:v>
      </x:c>
      <x:c r="C56" s="3" t="str">
        <x:v>301</x:v>
      </x:c>
      <x:c r="D56" s="3" t="str">
        <x:v>NAP</x:v>
      </x:c>
      <x:c r="E56" s="3" t="str"/>
      <x:c r="F56" s="28" t="n">
        <x:v>0.974</x:v>
      </x:c>
      <x:c r="G56" s="28" t="n">
        <x:v>0.062</x:v>
      </x:c>
      <x:c r="H56" s="28" t="n">
        <x:v>1</x:v>
      </x:c>
      <x:c r="I56" s="28" t="n">
        <x:v>28.09</x:v>
      </x:c>
      <x:c r="J56" s="3" t="n">
        <x:v>0</x:v>
      </x:c>
      <x:c r="K56" s="3" t="n">
        <x:v>41</x:v>
      </x:c>
      <x:c r="L56" s="3" t="str">
        <x:v>Alternate conformers may share joint EDS statistics. This is not an independent observation or an automatic quality pass.</x:v>
      </x:c>
      <x:c r="M56" s="3" t="str">
        <x:v>https://files.rcsb.org/validation/view/4rf2_validation.xml</x:v>
      </x:c>
    </x:row>
    <x:row r="57" ht="42" customHeight="1">
      <x:c r="A57" s="3" t="str">
        <x:v>4RF2</x:v>
      </x:c>
      <x:c r="B57" s="3" t="str">
        <x:v>B</x:v>
      </x:c>
      <x:c r="C57" s="3" t="str">
        <x:v>301</x:v>
      </x:c>
      <x:c r="D57" s="3" t="str">
        <x:v>NAP</x:v>
      </x:c>
      <x:c r="E57" s="3" t="str"/>
      <x:c r="F57" s="28" t="n">
        <x:v>0.971</x:v>
      </x:c>
      <x:c r="G57" s="28" t="n">
        <x:v>0.066</x:v>
      </x:c>
      <x:c r="H57" s="28" t="n">
        <x:v>1</x:v>
      </x:c>
      <x:c r="I57" s="28" t="n">
        <x:v>26.88</x:v>
      </x:c>
      <x:c r="J57" s="3" t="n">
        <x:v>0</x:v>
      </x:c>
      <x:c r="K57" s="3" t="n">
        <x:v>39</x:v>
      </x:c>
      <x:c r="L57" s="3" t="str">
        <x:v>Alternate conformers may share joint EDS statistics. This is not an independent observation or an automatic quality pass.</x:v>
      </x:c>
      <x:c r="M57" s="3" t="str">
        <x:v>https://files.rcsb.org/validation/view/4rf2_validation.xml</x:v>
      </x:c>
    </x:row>
    <x:row r="58" ht="42" customHeight="1">
      <x:c r="A58" s="3" t="str">
        <x:v>1Y1P</x:v>
      </x:c>
      <x:c r="B58" s="3" t="str">
        <x:v>A</x:v>
      </x:c>
      <x:c r="C58" s="3" t="str">
        <x:v>1001</x:v>
      </x:c>
      <x:c r="D58" s="3" t="str">
        <x:v>NMN</x:v>
      </x:c>
      <x:c r="E58" s="3" t="str"/>
      <x:c r="F58" s="28" t="n">
        <x:v>0.931</x:v>
      </x:c>
      <x:c r="G58" s="28" t="n">
        <x:v>0.086</x:v>
      </x:c>
      <x:c r="H58" s="28" t="n">
        <x:v>1</x:v>
      </x:c>
      <x:c r="I58" s="28" t="n">
        <x:v>16</x:v>
      </x:c>
      <x:c r="J58" s="3" t="n">
        <x:v>2</x:v>
      </x:c>
      <x:c r="K58" s="3" t="n">
        <x:v>10</x:v>
      </x:c>
      <x:c r="L58" s="3" t="str">
        <x:v>Alternate conformers may share joint EDS statistics. This is not an independent observation or an automatic quality pass.</x:v>
      </x:c>
      <x:c r="M58" s="3" t="str">
        <x:v>https://files.rcsb.org/validation/view/1y1p_validation.xml</x:v>
      </x:c>
    </x:row>
    <x:row r="59" ht="42" customHeight="1">
      <x:c r="A59" s="3" t="str">
        <x:v>1Y1P</x:v>
      </x:c>
      <x:c r="B59" s="3" t="str">
        <x:v>A</x:v>
      </x:c>
      <x:c r="C59" s="3" t="str">
        <x:v>1002</x:v>
      </x:c>
      <x:c r="D59" s="3" t="str">
        <x:v>AMP</x:v>
      </x:c>
      <x:c r="E59" s="3" t="str"/>
      <x:c r="F59" s="28" t="n">
        <x:v>0.935</x:v>
      </x:c>
      <x:c r="G59" s="28" t="n">
        <x:v>0.085</x:v>
      </x:c>
      <x:c r="H59" s="28" t="n">
        <x:v>1</x:v>
      </x:c>
      <x:c r="I59" s="28" t="n">
        <x:v>17.3</x:v>
      </x:c>
      <x:c r="J59" s="3" t="n">
        <x:v>0</x:v>
      </x:c>
      <x:c r="K59" s="3" t="n">
        <x:v>0</x:v>
      </x:c>
      <x:c r="L59" s="3" t="str">
        <x:v>Alternate conformers may share joint EDS statistics. This is not an independent observation or an automatic quality pass.</x:v>
      </x:c>
      <x:c r="M59" s="3" t="str">
        <x:v>https://files.rcsb.org/validation/view/1y1p_validation.xml</x:v>
      </x:c>
    </x:row>
    <x:row r="60" ht="42" customHeight="1">
      <x:c r="A60" s="3" t="str">
        <x:v>1Y1P</x:v>
      </x:c>
      <x:c r="B60" s="3" t="str">
        <x:v>A</x:v>
      </x:c>
      <x:c r="C60" s="3" t="str">
        <x:v>1003</x:v>
      </x:c>
      <x:c r="D60" s="3" t="str">
        <x:v>PO4</x:v>
      </x:c>
      <x:c r="E60" s="3" t="str"/>
      <x:c r="F60" s="28" t="n">
        <x:v>0.939</x:v>
      </x:c>
      <x:c r="G60" s="28" t="n">
        <x:v>0.096</x:v>
      </x:c>
      <x:c r="H60" s="28" t="n">
        <x:v>1</x:v>
      </x:c>
      <x:c r="I60" s="28" t="n">
        <x:v>16.98</x:v>
      </x:c>
      <x:c r="J60" s="3" t="n">
        <x:v>0</x:v>
      </x:c>
      <x:c r="K60" s="3" t="n">
        <x:v>0</x:v>
      </x:c>
      <x:c r="L60" s="3" t="str">
        <x:v>Alternate conformers may share joint EDS statistics. This is not an independent observation or an automatic quality pass.</x:v>
      </x:c>
      <x:c r="M60" s="3" t="str">
        <x:v>https://files.rcsb.org/validation/view/1y1p_validation.xml</x:v>
      </x:c>
    </x:row>
    <x:row r="61" ht="42" customHeight="1">
      <x:c r="A61" s="3" t="str">
        <x:v>1Y1P</x:v>
      </x:c>
      <x:c r="B61" s="3" t="str">
        <x:v>B</x:v>
      </x:c>
      <x:c r="C61" s="3" t="str">
        <x:v>2001</x:v>
      </x:c>
      <x:c r="D61" s="3" t="str">
        <x:v>NMN</x:v>
      </x:c>
      <x:c r="E61" s="3" t="str"/>
      <x:c r="F61" s="28" t="n">
        <x:v>0.663</x:v>
      </x:c>
      <x:c r="G61" s="28" t="n">
        <x:v>0.205</x:v>
      </x:c>
      <x:c r="H61" s="28" t="n">
        <x:v>1</x:v>
      </x:c>
      <x:c r="I61" s="28" t="n">
        <x:v>44.45</x:v>
      </x:c>
      <x:c r="J61" s="3" t="n">
        <x:v>6</x:v>
      </x:c>
      <x:c r="K61" s="3" t="n">
        <x:v>9</x:v>
      </x:c>
      <x:c r="L61" s="3" t="str">
        <x:v>Alternate conformers may share joint EDS statistics. This is not an independent observation or an automatic quality pass.</x:v>
      </x:c>
      <x:c r="M61" s="3" t="str">
        <x:v>https://files.rcsb.org/validation/view/1y1p_validation.xml</x:v>
      </x:c>
    </x:row>
    <x:row r="62" ht="42" customHeight="1">
      <x:c r="A62" s="3" t="str">
        <x:v>1Y1P</x:v>
      </x:c>
      <x:c r="B62" s="3" t="str">
        <x:v>B</x:v>
      </x:c>
      <x:c r="C62" s="3" t="str">
        <x:v>2002</x:v>
      </x:c>
      <x:c r="D62" s="3" t="str">
        <x:v>AMP</x:v>
      </x:c>
      <x:c r="E62" s="3" t="str"/>
      <x:c r="F62" s="28" t="n">
        <x:v>0.685</x:v>
      </x:c>
      <x:c r="G62" s="28" t="n">
        <x:v>0.164</x:v>
      </x:c>
      <x:c r="H62" s="28" t="n">
        <x:v>1</x:v>
      </x:c>
      <x:c r="I62" s="28" t="n">
        <x:v>43.59</x:v>
      </x:c>
      <x:c r="J62" s="3" t="n">
        <x:v>3</x:v>
      </x:c>
      <x:c r="K62" s="3" t="n">
        <x:v>0</x:v>
      </x:c>
      <x:c r="L62" s="3" t="str">
        <x:v>Alternate conformers may share joint EDS statistics. This is not an independent observation or an automatic quality pass.</x:v>
      </x:c>
      <x:c r="M62" s="3" t="str">
        <x:v>https://files.rcsb.org/validation/view/1y1p_validation.xml</x:v>
      </x:c>
    </x:row>
    <x:row r="63" ht="42" customHeight="1">
      <x:c r="A63" s="3" t="str">
        <x:v>1Y1P</x:v>
      </x:c>
      <x:c r="B63" s="3" t="str">
        <x:v>B</x:v>
      </x:c>
      <x:c r="C63" s="3" t="str">
        <x:v>2003</x:v>
      </x:c>
      <x:c r="D63" s="3" t="str">
        <x:v>PO4</x:v>
      </x:c>
      <x:c r="E63" s="3" t="str"/>
      <x:c r="F63" s="28" t="n">
        <x:v>0.881</x:v>
      </x:c>
      <x:c r="G63" s="28" t="n">
        <x:v>0.17</x:v>
      </x:c>
      <x:c r="H63" s="28" t="n">
        <x:v>1</x:v>
      </x:c>
      <x:c r="I63" s="28" t="n">
        <x:v>38.6</x:v>
      </x:c>
      <x:c r="J63" s="3" t="n">
        <x:v>0</x:v>
      </x:c>
      <x:c r="K63" s="3" t="n">
        <x:v>0</x:v>
      </x:c>
      <x:c r="L63" s="3" t="str">
        <x:v>Alternate conformers may share joint EDS statistics. This is not an independent observation or an automatic quality pass.</x:v>
      </x:c>
      <x:c r="M63" s="3" t="str">
        <x:v>https://files.rcsb.org/validation/view/1y1p_validation.xml</x:v>
      </x:c>
    </x:row>
    <x:row r="64" ht="42" customHeight="1">
      <x:c r="A64" s="3" t="str">
        <x:v>7UUT</x:v>
      </x:c>
      <x:c r="B64" s="3" t="str">
        <x:v>A</x:v>
      </x:c>
      <x:c r="C64" s="3" t="str">
        <x:v>402</x:v>
      </x:c>
      <x:c r="D64" s="3" t="str">
        <x:v>NAP</x:v>
      </x:c>
      <x:c r="E64" s="3" t="str"/>
      <x:c r="F64" s="28" t="n">
        <x:v>0.697</x:v>
      </x:c>
      <x:c r="G64" s="28" t="n">
        <x:v>0.209</x:v>
      </x:c>
      <x:c r="H64" s="28" t="n">
        <x:v>0.69</x:v>
      </x:c>
      <x:c r="I64" s="28" t="n">
        <x:v>56.1</x:v>
      </x:c>
      <x:c r="J64" s="3" t="n">
        <x:v>3</x:v>
      </x:c>
      <x:c r="K64" s="3" t="n">
        <x:v>51</x:v>
      </x:c>
      <x:c r="L64" s="3" t="str">
        <x:v>Alternate conformers may share joint EDS statistics. This is not an independent observation or an automatic quality pass.</x:v>
      </x:c>
      <x:c r="M64" s="3" t="str">
        <x:v>https://files.rcsb.org/validation/view/7uut_validation.xml</x:v>
      </x:c>
    </x:row>
    <x:row r="65" ht="42" customHeight="1">
      <x:c r="A65" s="3" t="str">
        <x:v>7UUT</x:v>
      </x:c>
      <x:c r="B65" s="3" t="str">
        <x:v>A</x:v>
      </x:c>
      <x:c r="C65" s="3" t="str">
        <x:v>403</x:v>
      </x:c>
      <x:c r="D65" s="3" t="str">
        <x:v>2RP</x:v>
      </x:c>
      <x:c r="E65" s="3" t="str"/>
      <x:c r="F65" s="28" t="n">
        <x:v>0.906</x:v>
      </x:c>
      <x:c r="G65" s="28" t="n">
        <x:v>0.171</x:v>
      </x:c>
      <x:c r="H65" s="28" t="n">
        <x:v>1</x:v>
      </x:c>
      <x:c r="I65" s="28" t="n">
        <x:v>88.18</x:v>
      </x:c>
      <x:c r="J65" s="3" t="n">
        <x:v>0</x:v>
      </x:c>
      <x:c r="K65" s="3" t="n">
        <x:v>3</x:v>
      </x:c>
      <x:c r="L65" s="3" t="str">
        <x:v>Alternate conformers may share joint EDS statistics. This is not an independent observation or an automatic quality pass.</x:v>
      </x:c>
      <x:c r="M65" s="3" t="str">
        <x:v>https://files.rcsb.org/validation/view/7uut_validation.xml</x:v>
      </x:c>
    </x:row>
    <x:row r="66" ht="42" customHeight="1">
      <x:c r="A66" s="3" t="str">
        <x:v>7UUT</x:v>
      </x:c>
      <x:c r="B66" s="3" t="str">
        <x:v>B</x:v>
      </x:c>
      <x:c r="C66" s="3" t="str">
        <x:v>402</x:v>
      </x:c>
      <x:c r="D66" s="3" t="str">
        <x:v>NAP</x:v>
      </x:c>
      <x:c r="E66" s="3" t="str"/>
      <x:c r="F66" s="28" t="n">
        <x:v>0.684</x:v>
      </x:c>
      <x:c r="G66" s="28" t="n">
        <x:v>0.235</x:v>
      </x:c>
      <x:c r="H66" s="28" t="n">
        <x:v>0.62</x:v>
      </x:c>
      <x:c r="I66" s="28" t="n">
        <x:v>44.92</x:v>
      </x:c>
      <x:c r="J66" s="3" t="n">
        <x:v>5</x:v>
      </x:c>
      <x:c r="K66" s="3" t="n">
        <x:v>51</x:v>
      </x:c>
      <x:c r="L66" s="3" t="str">
        <x:v>Alternate conformers may share joint EDS statistics. This is not an independent observation or an automatic quality pass.</x:v>
      </x:c>
      <x:c r="M66" s="3" t="str">
        <x:v>https://files.rcsb.org/validation/view/7uut_validation.xml</x:v>
      </x:c>
    </x:row>
    <x:row r="67" ht="42" customHeight="1">
      <x:c r="A67" s="3" t="str">
        <x:v>7UUT</x:v>
      </x:c>
      <x:c r="B67" s="3" t="str">
        <x:v>B</x:v>
      </x:c>
      <x:c r="C67" s="3" t="str">
        <x:v>403</x:v>
      </x:c>
      <x:c r="D67" s="3" t="str">
        <x:v>2RP</x:v>
      </x:c>
      <x:c r="E67" s="3" t="str"/>
      <x:c r="F67" s="28" t="n">
        <x:v>0.917</x:v>
      </x:c>
      <x:c r="G67" s="28" t="n">
        <x:v>0.144</x:v>
      </x:c>
      <x:c r="H67" s="28" t="n">
        <x:v>1</x:v>
      </x:c>
      <x:c r="I67" s="28" t="n">
        <x:v>59.69</x:v>
      </x:c>
      <x:c r="J67" s="3" t="n">
        <x:v>0</x:v>
      </x:c>
      <x:c r="K67" s="3" t="n">
        <x:v>3</x:v>
      </x:c>
      <x:c r="L67" s="3" t="str">
        <x:v>Alternate conformers may share joint EDS statistics. This is not an independent observation or an automatic quality pass.</x:v>
      </x:c>
      <x:c r="M67" s="3" t="str">
        <x:v>https://files.rcsb.org/validation/view/7uut_validation.xml</x:v>
      </x:c>
    </x:row>
    <x:row r="68" ht="42" customHeight="1">
      <x:c r="A68" s="3" t="str">
        <x:v>7UUT</x:v>
      </x:c>
      <x:c r="B68" s="3" t="str">
        <x:v>C</x:v>
      </x:c>
      <x:c r="C68" s="3" t="str">
        <x:v>402</x:v>
      </x:c>
      <x:c r="D68" s="3" t="str">
        <x:v>NAP</x:v>
      </x:c>
      <x:c r="E68" s="3" t="str"/>
      <x:c r="F68" s="28" t="n">
        <x:v>0.844</x:v>
      </x:c>
      <x:c r="G68" s="28" t="n">
        <x:v>0.159</x:v>
      </x:c>
      <x:c r="H68" s="28" t="n">
        <x:v>0.72</x:v>
      </x:c>
      <x:c r="I68" s="28" t="n">
        <x:v>39.56</x:v>
      </x:c>
      <x:c r="J68" s="3" t="n">
        <x:v>4</x:v>
      </x:c>
      <x:c r="K68" s="3" t="n">
        <x:v>50</x:v>
      </x:c>
      <x:c r="L68" s="3" t="str">
        <x:v>Alternate conformers may share joint EDS statistics. This is not an independent observation or an automatic quality pass.</x:v>
      </x:c>
      <x:c r="M68" s="3" t="str">
        <x:v>https://files.rcsb.org/validation/view/7uut_validation.xml</x:v>
      </x:c>
    </x:row>
    <x:row r="69" ht="42" customHeight="1">
      <x:c r="A69" s="3" t="str">
        <x:v>7UUT</x:v>
      </x:c>
      <x:c r="B69" s="3" t="str">
        <x:v>C</x:v>
      </x:c>
      <x:c r="C69" s="3" t="str">
        <x:v>403</x:v>
      </x:c>
      <x:c r="D69" s="3" t="str">
        <x:v>2RP</x:v>
      </x:c>
      <x:c r="E69" s="3" t="str"/>
      <x:c r="F69" s="28" t="n">
        <x:v>0.89</x:v>
      </x:c>
      <x:c r="G69" s="28" t="n">
        <x:v>0.212</x:v>
      </x:c>
      <x:c r="H69" s="28" t="n">
        <x:v>0.85</x:v>
      </x:c>
      <x:c r="I69" s="28" t="n">
        <x:v>45.61</x:v>
      </x:c>
      <x:c r="J69" s="3" t="n">
        <x:v>0</x:v>
      </x:c>
      <x:c r="K69" s="3" t="n">
        <x:v>3</x:v>
      </x:c>
      <x:c r="L69" s="3" t="str">
        <x:v>Alternate conformers may share joint EDS statistics. This is not an independent observation or an automatic quality pass.</x:v>
      </x:c>
      <x:c r="M69" s="3" t="str">
        <x:v>https://files.rcsb.org/validation/view/7uut_validation.xml</x:v>
      </x:c>
    </x:row>
    <x:row r="70" ht="42" customHeight="1">
      <x:c r="A70" s="3" t="str">
        <x:v>7UUT</x:v>
      </x:c>
      <x:c r="B70" s="3" t="str">
        <x:v>D</x:v>
      </x:c>
      <x:c r="C70" s="3" t="str">
        <x:v>402</x:v>
      </x:c>
      <x:c r="D70" s="3" t="str">
        <x:v>NAP</x:v>
      </x:c>
      <x:c r="E70" s="3" t="str"/>
      <x:c r="F70" s="28" t="n">
        <x:v>0.761</x:v>
      </x:c>
      <x:c r="G70" s="28" t="n">
        <x:v>0.206</x:v>
      </x:c>
      <x:c r="H70" s="28" t="n">
        <x:v>0.62</x:v>
      </x:c>
      <x:c r="I70" s="28" t="n">
        <x:v>35.96</x:v>
      </x:c>
      <x:c r="J70" s="3" t="n">
        <x:v>5</x:v>
      </x:c>
      <x:c r="K70" s="3" t="n">
        <x:v>51</x:v>
      </x:c>
      <x:c r="L70" s="3" t="str">
        <x:v>Alternate conformers may share joint EDS statistics. This is not an independent observation or an automatic quality pass.</x:v>
      </x:c>
      <x:c r="M70" s="3" t="str">
        <x:v>https://files.rcsb.org/validation/view/7uut_validation.xml</x:v>
      </x:c>
    </x:row>
    <x:row r="71" ht="42" customHeight="1">
      <x:c r="A71" s="3" t="str">
        <x:v>7UUT</x:v>
      </x:c>
      <x:c r="B71" s="3" t="str">
        <x:v>D</x:v>
      </x:c>
      <x:c r="C71" s="3" t="str">
        <x:v>403</x:v>
      </x:c>
      <x:c r="D71" s="3" t="str">
        <x:v>2RP</x:v>
      </x:c>
      <x:c r="E71" s="3" t="str"/>
      <x:c r="F71" s="28" t="n">
        <x:v>0.867</x:v>
      </x:c>
      <x:c r="G71" s="28" t="n">
        <x:v>0.163</x:v>
      </x:c>
      <x:c r="H71" s="28" t="n">
        <x:v>0.95</x:v>
      </x:c>
      <x:c r="I71" s="28" t="n">
        <x:v>51.04</x:v>
      </x:c>
      <x:c r="J71" s="3" t="n">
        <x:v>0</x:v>
      </x:c>
      <x:c r="K71" s="3" t="n">
        <x:v>2</x:v>
      </x:c>
      <x:c r="L71" s="3" t="str">
        <x:v>Alternate conformers may share joint EDS statistics. This is not an independent observation or an automatic quality pass.</x:v>
      </x:c>
      <x:c r="M71" s="3" t="str">
        <x:v>https://files.rcsb.org/validation/view/7uut_validation.xml</x:v>
      </x:c>
    </x:row>
    <x:row r="72" ht="42" customHeight="1">
      <x:c r="A72" s="3" t="str">
        <x:v>7UTC</x:v>
      </x:c>
      <x:c r="B72" s="3" t="str">
        <x:v>A</x:v>
      </x:c>
      <x:c r="C72" s="3" t="str">
        <x:v>402</x:v>
      </x:c>
      <x:c r="D72" s="3" t="str">
        <x:v>NAP</x:v>
      </x:c>
      <x:c r="E72" s="3" t="str"/>
      <x:c r="F72" s="28" t="n">
        <x:v>0.741</x:v>
      </x:c>
      <x:c r="G72" s="28" t="n">
        <x:v>0.154</x:v>
      </x:c>
      <x:c r="H72" s="28" t="n">
        <x:v>0.77</x:v>
      </x:c>
      <x:c r="I72" s="28" t="n">
        <x:v>54.23</x:v>
      </x:c>
      <x:c r="J72" s="3" t="n">
        <x:v>3</x:v>
      </x:c>
      <x:c r="K72" s="3" t="n">
        <x:v>39</x:v>
      </x:c>
      <x:c r="L72" s="3" t="str">
        <x:v>Alternate conformers may share joint EDS statistics. This is not an independent observation or an automatic quality pass.</x:v>
      </x:c>
      <x:c r="M72" s="3" t="str">
        <x:v>https://files.rcsb.org/validation/view/7utc_validation.xml</x:v>
      </x:c>
    </x:row>
    <x:row r="73" ht="42" customHeight="1">
      <x:c r="A73" s="3" t="str">
        <x:v>7UTC</x:v>
      </x:c>
      <x:c r="B73" s="3" t="str">
        <x:v>A</x:v>
      </x:c>
      <x:c r="C73" s="3" t="str">
        <x:v>403</x:v>
      </x:c>
      <x:c r="D73" s="3" t="str">
        <x:v>DMS</x:v>
      </x:c>
      <x:c r="E73" s="3" t="str"/>
      <x:c r="F73" s="28" t="n">
        <x:v>0.957</x:v>
      </x:c>
      <x:c r="G73" s="28" t="n">
        <x:v>0.088</x:v>
      </x:c>
      <x:c r="H73" s="28" t="n">
        <x:v>0.85</x:v>
      </x:c>
      <x:c r="I73" s="28" t="n">
        <x:v>35.31</x:v>
      </x:c>
      <x:c r="J73" s="3" t="n">
        <x:v>0</x:v>
      </x:c>
      <x:c r="K73" s="3" t="n">
        <x:v>0</x:v>
      </x:c>
      <x:c r="L73" s="3" t="str">
        <x:v>Alternate conformers may share joint EDS statistics. This is not an independent observation or an automatic quality pass.</x:v>
      </x:c>
      <x:c r="M73" s="3" t="str">
        <x:v>https://files.rcsb.org/validation/view/7utc_validation.xml</x:v>
      </x:c>
    </x:row>
    <x:row r="74" ht="42" customHeight="1">
      <x:c r="A74" s="3" t="str">
        <x:v>7UTC</x:v>
      </x:c>
      <x:c r="B74" s="3" t="str">
        <x:v>A</x:v>
      </x:c>
      <x:c r="C74" s="3" t="str">
        <x:v>404</x:v>
      </x:c>
      <x:c r="D74" s="3" t="str">
        <x:v>DMS</x:v>
      </x:c>
      <x:c r="E74" s="3" t="str"/>
      <x:c r="F74" s="28" t="n">
        <x:v>0.921</x:v>
      </x:c>
      <x:c r="G74" s="28" t="n">
        <x:v>0.111</x:v>
      </x:c>
      <x:c r="H74" s="28" t="n">
        <x:v>1</x:v>
      </x:c>
      <x:c r="I74" s="28" t="n">
        <x:v>54.18</x:v>
      </x:c>
      <x:c r="J74" s="3" t="n">
        <x:v>0</x:v>
      </x:c>
      <x:c r="K74" s="3" t="n">
        <x:v>0</x:v>
      </x:c>
      <x:c r="L74" s="3" t="str">
        <x:v>Alternate conformers may share joint EDS statistics. This is not an independent observation or an automatic quality pass.</x:v>
      </x:c>
      <x:c r="M74" s="3" t="str">
        <x:v>https://files.rcsb.org/validation/view/7utc_validation.xml</x:v>
      </x:c>
    </x:row>
    <x:row r="75" ht="42" customHeight="1">
      <x:c r="A75" s="3" t="str">
        <x:v>7UTC</x:v>
      </x:c>
      <x:c r="B75" s="3" t="str">
        <x:v>A</x:v>
      </x:c>
      <x:c r="C75" s="3" t="str">
        <x:v>405</x:v>
      </x:c>
      <x:c r="D75" s="3" t="str">
        <x:v>DMS</x:v>
      </x:c>
      <x:c r="E75" s="3" t="str"/>
      <x:c r="F75" s="28" t="n">
        <x:v>0.916</x:v>
      </x:c>
      <x:c r="G75" s="28" t="n">
        <x:v>0.147</x:v>
      </x:c>
      <x:c r="H75" s="28" t="n">
        <x:v>0.77</x:v>
      </x:c>
      <x:c r="I75" s="28" t="n">
        <x:v>47.91</x:v>
      </x:c>
      <x:c r="J75" s="3" t="n">
        <x:v>2</x:v>
      </x:c>
      <x:c r="K75" s="3" t="n">
        <x:v>0</x:v>
      </x:c>
      <x:c r="L75" s="3" t="str">
        <x:v>Alternate conformers may share joint EDS statistics. This is not an independent observation or an automatic quality pass.</x:v>
      </x:c>
      <x:c r="M75" s="3" t="str">
        <x:v>https://files.rcsb.org/validation/view/7utc_validation.xml</x:v>
      </x:c>
    </x:row>
    <x:row r="76" ht="42" customHeight="1">
      <x:c r="A76" s="3" t="str">
        <x:v>7UTC</x:v>
      </x:c>
      <x:c r="B76" s="3" t="str">
        <x:v>A</x:v>
      </x:c>
      <x:c r="C76" s="3" t="str">
        <x:v>406</x:v>
      </x:c>
      <x:c r="D76" s="3" t="str">
        <x:v>DMS</x:v>
      </x:c>
      <x:c r="E76" s="3" t="str"/>
      <x:c r="F76" s="28" t="n">
        <x:v>0.874</x:v>
      </x:c>
      <x:c r="G76" s="28" t="n">
        <x:v>0.133</x:v>
      </x:c>
      <x:c r="H76" s="28" t="n">
        <x:v>1</x:v>
      </x:c>
      <x:c r="I76" s="28" t="n">
        <x:v>65.72</x:v>
      </x:c>
      <x:c r="J76" s="3" t="n">
        <x:v>0</x:v>
      </x:c>
      <x:c r="K76" s="3" t="n">
        <x:v>0</x:v>
      </x:c>
      <x:c r="L76" s="3" t="str">
        <x:v>Alternate conformers may share joint EDS statistics. This is not an independent observation or an automatic quality pass.</x:v>
      </x:c>
      <x:c r="M76" s="3" t="str">
        <x:v>https://files.rcsb.org/validation/view/7utc_validation.xml</x:v>
      </x:c>
    </x:row>
    <x:row r="77" ht="42" customHeight="1">
      <x:c r="A77" s="3" t="str">
        <x:v>7UTC</x:v>
      </x:c>
      <x:c r="B77" s="3" t="str">
        <x:v>A</x:v>
      </x:c>
      <x:c r="C77" s="3" t="str">
        <x:v>407</x:v>
      </x:c>
      <x:c r="D77" s="3" t="str">
        <x:v>DMS</x:v>
      </x:c>
      <x:c r="E77" s="3" t="str"/>
      <x:c r="F77" s="28" t="n">
        <x:v>0.884</x:v>
      </x:c>
      <x:c r="G77" s="28" t="n">
        <x:v>0.129</x:v>
      </x:c>
      <x:c r="H77" s="28" t="n">
        <x:v>1</x:v>
      </x:c>
      <x:c r="I77" s="28" t="n">
        <x:v>58.06</x:v>
      </x:c>
      <x:c r="J77" s="3" t="n">
        <x:v>0</x:v>
      </x:c>
      <x:c r="K77" s="3" t="n">
        <x:v>0</x:v>
      </x:c>
      <x:c r="L77" s="3" t="str">
        <x:v>Alternate conformers may share joint EDS statistics. This is not an independent observation or an automatic quality pass.</x:v>
      </x:c>
      <x:c r="M77" s="3" t="str">
        <x:v>https://files.rcsb.org/validation/view/7utc_validation.xml</x:v>
      </x:c>
    </x:row>
    <x:row r="78" ht="42" customHeight="1">
      <x:c r="A78" s="3" t="str">
        <x:v>7UTC</x:v>
      </x:c>
      <x:c r="B78" s="3" t="str">
        <x:v>A</x:v>
      </x:c>
      <x:c r="C78" s="3" t="str">
        <x:v>408</x:v>
      </x:c>
      <x:c r="D78" s="3" t="str">
        <x:v>DMS</x:v>
      </x:c>
      <x:c r="E78" s="3" t="str"/>
      <x:c r="F78" s="28" t="n">
        <x:v>0.847</x:v>
      </x:c>
      <x:c r="G78" s="28" t="n">
        <x:v>0.174</x:v>
      </x:c>
      <x:c r="H78" s="28" t="n">
        <x:v>1</x:v>
      </x:c>
      <x:c r="I78" s="28" t="n">
        <x:v>83.74</x:v>
      </x:c>
      <x:c r="J78" s="3" t="n">
        <x:v>1</x:v>
      </x:c>
      <x:c r="K78" s="3" t="n">
        <x:v>0</x:v>
      </x:c>
      <x:c r="L78" s="3" t="str">
        <x:v>Alternate conformers may share joint EDS statistics. This is not an independent observation or an automatic quality pass.</x:v>
      </x:c>
      <x:c r="M78" s="3" t="str">
        <x:v>https://files.rcsb.org/validation/view/7utc_validation.xml</x:v>
      </x:c>
    </x:row>
    <x:row r="79" ht="42" customHeight="1">
      <x:c r="A79" s="3" t="str">
        <x:v>7UTC</x:v>
      </x:c>
      <x:c r="B79" s="3" t="str">
        <x:v>A</x:v>
      </x:c>
      <x:c r="C79" s="3" t="str">
        <x:v>409</x:v>
      </x:c>
      <x:c r="D79" s="3" t="str">
        <x:v>DMS</x:v>
      </x:c>
      <x:c r="E79" s="3" t="str"/>
      <x:c r="F79" s="28" t="n">
        <x:v>0.85</x:v>
      </x:c>
      <x:c r="G79" s="28" t="n">
        <x:v>0.154</x:v>
      </x:c>
      <x:c r="H79" s="28" t="n">
        <x:v>1</x:v>
      </x:c>
      <x:c r="I79" s="28" t="n">
        <x:v>65.11</x:v>
      </x:c>
      <x:c r="J79" s="3" t="n">
        <x:v>0</x:v>
      </x:c>
      <x:c r="K79" s="3" t="n">
        <x:v>0</x:v>
      </x:c>
      <x:c r="L79" s="3" t="str">
        <x:v>Alternate conformers may share joint EDS statistics. This is not an independent observation or an automatic quality pass.</x:v>
      </x:c>
      <x:c r="M79" s="3" t="str">
        <x:v>https://files.rcsb.org/validation/view/7utc_validation.xml</x:v>
      </x:c>
    </x:row>
    <x:row r="80" ht="42" customHeight="1">
      <x:c r="A80" s="3" t="str">
        <x:v>7UTC</x:v>
      </x:c>
      <x:c r="B80" s="3" t="str">
        <x:v>A</x:v>
      </x:c>
      <x:c r="C80" s="3" t="str">
        <x:v>410</x:v>
      </x:c>
      <x:c r="D80" s="3" t="str">
        <x:v>DMS</x:v>
      </x:c>
      <x:c r="E80" s="3" t="str"/>
      <x:c r="F80" s="28" t="n">
        <x:v>0.806</x:v>
      </x:c>
      <x:c r="G80" s="28" t="n">
        <x:v>0.145</x:v>
      </x:c>
      <x:c r="H80" s="28" t="n">
        <x:v>1</x:v>
      </x:c>
      <x:c r="I80" s="28" t="n">
        <x:v>59.29</x:v>
      </x:c>
      <x:c r="J80" s="3" t="n">
        <x:v>1</x:v>
      </x:c>
      <x:c r="K80" s="3" t="n">
        <x:v>0</x:v>
      </x:c>
      <x:c r="L80" s="3" t="str">
        <x:v>Alternate conformers may share joint EDS statistics. This is not an independent observation or an automatic quality pass.</x:v>
      </x:c>
      <x:c r="M80" s="3" t="str">
        <x:v>https://files.rcsb.org/validation/view/7utc_validation.xml</x:v>
      </x:c>
    </x:row>
    <x:row r="81" ht="42" customHeight="1">
      <x:c r="A81" s="3" t="str">
        <x:v>7UTC</x:v>
      </x:c>
      <x:c r="B81" s="3" t="str">
        <x:v>A</x:v>
      </x:c>
      <x:c r="C81" s="3" t="str">
        <x:v>411</x:v>
      </x:c>
      <x:c r="D81" s="3" t="str">
        <x:v>DMS</x:v>
      </x:c>
      <x:c r="E81" s="3" t="str"/>
      <x:c r="F81" s="28" t="n">
        <x:v>0.929</x:v>
      </x:c>
      <x:c r="G81" s="28" t="n">
        <x:v>0.124</x:v>
      </x:c>
      <x:c r="H81" s="28" t="n">
        <x:v>1</x:v>
      </x:c>
      <x:c r="I81" s="28" t="n">
        <x:v>60.68</x:v>
      </x:c>
      <x:c r="J81" s="3" t="n">
        <x:v>0</x:v>
      </x:c>
      <x:c r="K81" s="3" t="n">
        <x:v>0</x:v>
      </x:c>
      <x:c r="L81" s="3" t="str">
        <x:v>Alternate conformers may share joint EDS statistics. This is not an independent observation or an automatic quality pass.</x:v>
      </x:c>
      <x:c r="M81" s="3" t="str">
        <x:v>https://files.rcsb.org/validation/view/7utc_validation.xml</x:v>
      </x:c>
    </x:row>
    <x:row r="82" ht="42" customHeight="1">
      <x:c r="A82" s="3" t="str">
        <x:v>7UTC</x:v>
      </x:c>
      <x:c r="B82" s="3" t="str">
        <x:v>B</x:v>
      </x:c>
      <x:c r="C82" s="3" t="str">
        <x:v>402</x:v>
      </x:c>
      <x:c r="D82" s="3" t="str">
        <x:v>NAP</x:v>
      </x:c>
      <x:c r="E82" s="3" t="str"/>
      <x:c r="F82" s="28" t="n">
        <x:v>0.812</x:v>
      </x:c>
      <x:c r="G82" s="28" t="n">
        <x:v>0.136</x:v>
      </x:c>
      <x:c r="H82" s="28" t="n">
        <x:v>0.78</x:v>
      </x:c>
      <x:c r="I82" s="28" t="n">
        <x:v>49.03</x:v>
      </x:c>
      <x:c r="J82" s="3" t="n">
        <x:v>2</x:v>
      </x:c>
      <x:c r="K82" s="3" t="n">
        <x:v>46</x:v>
      </x:c>
      <x:c r="L82" s="3" t="str">
        <x:v>Alternate conformers may share joint EDS statistics. This is not an independent observation or an automatic quality pass.</x:v>
      </x:c>
      <x:c r="M82" s="3" t="str">
        <x:v>https://files.rcsb.org/validation/view/7utc_validation.xml</x:v>
      </x:c>
    </x:row>
    <x:row r="83" ht="42" customHeight="1">
      <x:c r="A83" s="3" t="str">
        <x:v>7UTC</x:v>
      </x:c>
      <x:c r="B83" s="3" t="str">
        <x:v>B</x:v>
      </x:c>
      <x:c r="C83" s="3" t="str">
        <x:v>403</x:v>
      </x:c>
      <x:c r="D83" s="3" t="str">
        <x:v>DMS</x:v>
      </x:c>
      <x:c r="E83" s="3" t="str"/>
      <x:c r="F83" s="28" t="n">
        <x:v>0.974</x:v>
      </x:c>
      <x:c r="G83" s="28" t="n">
        <x:v>0.065</x:v>
      </x:c>
      <x:c r="H83" s="28" t="n">
        <x:v>0.96</x:v>
      </x:c>
      <x:c r="I83" s="28" t="n">
        <x:v>39.11</x:v>
      </x:c>
      <x:c r="J83" s="3" t="n">
        <x:v>0</x:v>
      </x:c>
      <x:c r="K83" s="3" t="n">
        <x:v>0</x:v>
      </x:c>
      <x:c r="L83" s="3" t="str">
        <x:v>Alternate conformers may share joint EDS statistics. This is not an independent observation or an automatic quality pass.</x:v>
      </x:c>
      <x:c r="M83" s="3" t="str">
        <x:v>https://files.rcsb.org/validation/view/7utc_validation.xml</x:v>
      </x:c>
    </x:row>
    <x:row r="84" ht="42" customHeight="1">
      <x:c r="A84" s="3" t="str">
        <x:v>7UTC</x:v>
      </x:c>
      <x:c r="B84" s="3" t="str">
        <x:v>B</x:v>
      </x:c>
      <x:c r="C84" s="3" t="str">
        <x:v>404</x:v>
      </x:c>
      <x:c r="D84" s="3" t="str">
        <x:v>DMS</x:v>
      </x:c>
      <x:c r="E84" s="3" t="str"/>
      <x:c r="F84" s="28" t="n">
        <x:v>0.914</x:v>
      </x:c>
      <x:c r="G84" s="28" t="n">
        <x:v>0.135</x:v>
      </x:c>
      <x:c r="H84" s="28" t="n">
        <x:v>0.81</x:v>
      </x:c>
      <x:c r="I84" s="28" t="n">
        <x:v>39.87</x:v>
      </x:c>
      <x:c r="J84" s="3" t="n">
        <x:v>0</x:v>
      </x:c>
      <x:c r="K84" s="3" t="n">
        <x:v>0</x:v>
      </x:c>
      <x:c r="L84" s="3" t="str">
        <x:v>Alternate conformers may share joint EDS statistics. This is not an independent observation or an automatic quality pass.</x:v>
      </x:c>
      <x:c r="M84" s="3" t="str">
        <x:v>https://files.rcsb.org/validation/view/7utc_validation.xml</x:v>
      </x:c>
    </x:row>
    <x:row r="85" ht="42" customHeight="1">
      <x:c r="A85" s="3" t="str">
        <x:v>7UTC</x:v>
      </x:c>
      <x:c r="B85" s="3" t="str">
        <x:v>B</x:v>
      </x:c>
      <x:c r="C85" s="3" t="str">
        <x:v>405</x:v>
      </x:c>
      <x:c r="D85" s="3" t="str">
        <x:v>DMS</x:v>
      </x:c>
      <x:c r="E85" s="3" t="str"/>
      <x:c r="F85" s="28" t="n">
        <x:v>0.905</x:v>
      </x:c>
      <x:c r="G85" s="28" t="n">
        <x:v>0.121</x:v>
      </x:c>
      <x:c r="H85" s="28" t="n">
        <x:v>0.9</x:v>
      </x:c>
      <x:c r="I85" s="28" t="n">
        <x:v>44.16</x:v>
      </x:c>
      <x:c r="J85" s="3" t="n">
        <x:v>0</x:v>
      </x:c>
      <x:c r="K85" s="3" t="n">
        <x:v>0</x:v>
      </x:c>
      <x:c r="L85" s="3" t="str">
        <x:v>Alternate conformers may share joint EDS statistics. This is not an independent observation or an automatic quality pass.</x:v>
      </x:c>
      <x:c r="M85" s="3" t="str">
        <x:v>https://files.rcsb.org/validation/view/7utc_validation.xml</x:v>
      </x:c>
    </x:row>
    <x:row r="86" ht="42" customHeight="1">
      <x:c r="A86" s="3" t="str">
        <x:v>7UTC</x:v>
      </x:c>
      <x:c r="B86" s="3" t="str">
        <x:v>B</x:v>
      </x:c>
      <x:c r="C86" s="3" t="str">
        <x:v>406</x:v>
      </x:c>
      <x:c r="D86" s="3" t="str">
        <x:v>DMS</x:v>
      </x:c>
      <x:c r="E86" s="3" t="str"/>
      <x:c r="F86" s="28" t="n">
        <x:v>0.904</x:v>
      </x:c>
      <x:c r="G86" s="28" t="n">
        <x:v>0.122</x:v>
      </x:c>
      <x:c r="H86" s="28" t="n">
        <x:v>1</x:v>
      </x:c>
      <x:c r="I86" s="28" t="n">
        <x:v>57.2</x:v>
      </x:c>
      <x:c r="J86" s="3" t="n">
        <x:v>0</x:v>
      </x:c>
      <x:c r="K86" s="3" t="n">
        <x:v>0</x:v>
      </x:c>
      <x:c r="L86" s="3" t="str">
        <x:v>Alternate conformers may share joint EDS statistics. This is not an independent observation or an automatic quality pass.</x:v>
      </x:c>
      <x:c r="M86" s="3" t="str">
        <x:v>https://files.rcsb.org/validation/view/7utc_validation.xml</x:v>
      </x:c>
    </x:row>
    <x:row r="87" ht="42" customHeight="1">
      <x:c r="A87" s="3" t="str">
        <x:v>7UTC</x:v>
      </x:c>
      <x:c r="B87" s="3" t="str">
        <x:v>B</x:v>
      </x:c>
      <x:c r="C87" s="3" t="str">
        <x:v>407</x:v>
      </x:c>
      <x:c r="D87" s="3" t="str">
        <x:v>DMS</x:v>
      </x:c>
      <x:c r="E87" s="3" t="str"/>
      <x:c r="F87" s="28" t="n">
        <x:v>0.872</x:v>
      </x:c>
      <x:c r="G87" s="28" t="n">
        <x:v>0.127</x:v>
      </x:c>
      <x:c r="H87" s="28" t="n">
        <x:v>1</x:v>
      </x:c>
      <x:c r="I87" s="28" t="n">
        <x:v>59.06</x:v>
      </x:c>
      <x:c r="J87" s="3" t="n">
        <x:v>0</x:v>
      </x:c>
      <x:c r="K87" s="3" t="n">
        <x:v>0</x:v>
      </x:c>
      <x:c r="L87" s="3" t="str">
        <x:v>Alternate conformers may share joint EDS statistics. This is not an independent observation or an automatic quality pass.</x:v>
      </x:c>
      <x:c r="M87" s="3" t="str">
        <x:v>https://files.rcsb.org/validation/view/7utc_validation.xml</x:v>
      </x:c>
    </x:row>
    <x:row r="88" ht="42" customHeight="1">
      <x:c r="A88" s="3" t="str">
        <x:v>7UTC</x:v>
      </x:c>
      <x:c r="B88" s="3" t="str">
        <x:v>B</x:v>
      </x:c>
      <x:c r="C88" s="3" t="str">
        <x:v>408</x:v>
      </x:c>
      <x:c r="D88" s="3" t="str">
        <x:v>DMS</x:v>
      </x:c>
      <x:c r="E88" s="3" t="str"/>
      <x:c r="F88" s="28" t="n">
        <x:v>0.915</x:v>
      </x:c>
      <x:c r="G88" s="28" t="n">
        <x:v>0.1</x:v>
      </x:c>
      <x:c r="H88" s="28" t="n">
        <x:v>1</x:v>
      </x:c>
      <x:c r="I88" s="28" t="n">
        <x:v>48.65</x:v>
      </x:c>
      <x:c r="J88" s="3" t="n">
        <x:v>0</x:v>
      </x:c>
      <x:c r="K88" s="3" t="n">
        <x:v>0</x:v>
      </x:c>
      <x:c r="L88" s="3" t="str">
        <x:v>Alternate conformers may share joint EDS statistics. This is not an independent observation or an automatic quality pass.</x:v>
      </x:c>
      <x:c r="M88" s="3" t="str">
        <x:v>https://files.rcsb.org/validation/view/7utc_validation.xml</x:v>
      </x:c>
    </x:row>
    <x:row r="89" ht="42" customHeight="1">
      <x:c r="A89" s="3" t="str">
        <x:v>7UTC</x:v>
      </x:c>
      <x:c r="B89" s="3" t="str">
        <x:v>B</x:v>
      </x:c>
      <x:c r="C89" s="3" t="str">
        <x:v>409</x:v>
      </x:c>
      <x:c r="D89" s="3" t="str">
        <x:v>DMS</x:v>
      </x:c>
      <x:c r="E89" s="3" t="str"/>
      <x:c r="F89" s="28" t="n">
        <x:v>0.869</x:v>
      </x:c>
      <x:c r="G89" s="28" t="n">
        <x:v>0.114</x:v>
      </x:c>
      <x:c r="H89" s="28" t="n">
        <x:v>1</x:v>
      </x:c>
      <x:c r="I89" s="28" t="n">
        <x:v>56.8</x:v>
      </x:c>
      <x:c r="J89" s="3" t="n">
        <x:v>0</x:v>
      </x:c>
      <x:c r="K89" s="3" t="n">
        <x:v>0</x:v>
      </x:c>
      <x:c r="L89" s="3" t="str">
        <x:v>Alternate conformers may share joint EDS statistics. This is not an independent observation or an automatic quality pass.</x:v>
      </x:c>
      <x:c r="M89" s="3" t="str">
        <x:v>https://files.rcsb.org/validation/view/7utc_validation.xml</x:v>
      </x:c>
    </x:row>
    <x:row r="90" ht="42" customHeight="1">
      <x:c r="A90" s="3" t="str">
        <x:v>7UTC</x:v>
      </x:c>
      <x:c r="B90" s="3" t="str">
        <x:v>B</x:v>
      </x:c>
      <x:c r="C90" s="3" t="str">
        <x:v>410</x:v>
      </x:c>
      <x:c r="D90" s="3" t="str">
        <x:v>DMS</x:v>
      </x:c>
      <x:c r="E90" s="3" t="str"/>
      <x:c r="F90" s="28" t="n">
        <x:v>0.889</x:v>
      </x:c>
      <x:c r="G90" s="28" t="n">
        <x:v>0.141</x:v>
      </x:c>
      <x:c r="H90" s="28" t="n">
        <x:v>1</x:v>
      </x:c>
      <x:c r="I90" s="28" t="n">
        <x:v>68.79</x:v>
      </x:c>
      <x:c r="J90" s="3" t="n">
        <x:v>0</x:v>
      </x:c>
      <x:c r="K90" s="3" t="n">
        <x:v>0</x:v>
      </x:c>
      <x:c r="L90" s="3" t="str">
        <x:v>Alternate conformers may share joint EDS statistics. This is not an independent observation or an automatic quality pass.</x:v>
      </x:c>
      <x:c r="M90" s="3" t="str">
        <x:v>https://files.rcsb.org/validation/view/7utc_validation.xml</x:v>
      </x:c>
    </x:row>
    <x:row r="91" ht="42" customHeight="1">
      <x:c r="A91" s="3" t="str">
        <x:v>7UTC</x:v>
      </x:c>
      <x:c r="B91" s="3" t="str">
        <x:v>C</x:v>
      </x:c>
      <x:c r="C91" s="3" t="str">
        <x:v>402</x:v>
      </x:c>
      <x:c r="D91" s="3" t="str">
        <x:v>NAP</x:v>
      </x:c>
      <x:c r="E91" s="3" t="str"/>
      <x:c r="F91" s="28" t="n">
        <x:v>0.872</x:v>
      </x:c>
      <x:c r="G91" s="28" t="n">
        <x:v>0.122</x:v>
      </x:c>
      <x:c r="H91" s="28" t="n">
        <x:v>0.76</x:v>
      </x:c>
      <x:c r="I91" s="28" t="n">
        <x:v>34.35</x:v>
      </x:c>
      <x:c r="J91" s="3" t="n">
        <x:v>4</x:v>
      </x:c>
      <x:c r="K91" s="3" t="n">
        <x:v>48</x:v>
      </x:c>
      <x:c r="L91" s="3" t="str">
        <x:v>Alternate conformers may share joint EDS statistics. This is not an independent observation or an automatic quality pass.</x:v>
      </x:c>
      <x:c r="M91" s="3" t="str">
        <x:v>https://files.rcsb.org/validation/view/7utc_validation.xml</x:v>
      </x:c>
    </x:row>
    <x:row r="92" ht="42" customHeight="1">
      <x:c r="A92" s="3" t="str">
        <x:v>7UTC</x:v>
      </x:c>
      <x:c r="B92" s="3" t="str">
        <x:v>C</x:v>
      </x:c>
      <x:c r="C92" s="3" t="str">
        <x:v>403</x:v>
      </x:c>
      <x:c r="D92" s="3" t="str">
        <x:v>DMS</x:v>
      </x:c>
      <x:c r="E92" s="3" t="str"/>
      <x:c r="F92" s="28" t="n">
        <x:v>0.973</x:v>
      </x:c>
      <x:c r="G92" s="28" t="n">
        <x:v>0.067</x:v>
      </x:c>
      <x:c r="H92" s="28" t="n">
        <x:v>0.87</x:v>
      </x:c>
      <x:c r="I92" s="28" t="n">
        <x:v>32.58</x:v>
      </x:c>
      <x:c r="J92" s="3" t="n">
        <x:v>0</x:v>
      </x:c>
      <x:c r="K92" s="3" t="n">
        <x:v>0</x:v>
      </x:c>
      <x:c r="L92" s="3" t="str">
        <x:v>Alternate conformers may share joint EDS statistics. This is not an independent observation or an automatic quality pass.</x:v>
      </x:c>
      <x:c r="M92" s="3" t="str">
        <x:v>https://files.rcsb.org/validation/view/7utc_validation.xml</x:v>
      </x:c>
    </x:row>
    <x:row r="93" ht="42" customHeight="1">
      <x:c r="A93" s="3" t="str">
        <x:v>7UTC</x:v>
      </x:c>
      <x:c r="B93" s="3" t="str">
        <x:v>C</x:v>
      </x:c>
      <x:c r="C93" s="3" t="str">
        <x:v>404</x:v>
      </x:c>
      <x:c r="D93" s="3" t="str">
        <x:v>DMS</x:v>
      </x:c>
      <x:c r="E93" s="3" t="str"/>
      <x:c r="F93" s="28" t="n">
        <x:v>0.958</x:v>
      </x:c>
      <x:c r="G93" s="28" t="n">
        <x:v>0.107</x:v>
      </x:c>
      <x:c r="H93" s="28" t="n">
        <x:v>1</x:v>
      </x:c>
      <x:c r="I93" s="28" t="n">
        <x:v>46.28</x:v>
      </x:c>
      <x:c r="J93" s="3" t="n">
        <x:v>0</x:v>
      </x:c>
      <x:c r="K93" s="3" t="n">
        <x:v>0</x:v>
      </x:c>
      <x:c r="L93" s="3" t="str">
        <x:v>Alternate conformers may share joint EDS statistics. This is not an independent observation or an automatic quality pass.</x:v>
      </x:c>
      <x:c r="M93" s="3" t="str">
        <x:v>https://files.rcsb.org/validation/view/7utc_validation.xml</x:v>
      </x:c>
    </x:row>
    <x:row r="94" ht="42" customHeight="1">
      <x:c r="A94" s="3" t="str">
        <x:v>7UTC</x:v>
      </x:c>
      <x:c r="B94" s="3" t="str">
        <x:v>C</x:v>
      </x:c>
      <x:c r="C94" s="3" t="str">
        <x:v>405</x:v>
      </x:c>
      <x:c r="D94" s="3" t="str">
        <x:v>DMS</x:v>
      </x:c>
      <x:c r="E94" s="3" t="str"/>
      <x:c r="F94" s="28" t="n">
        <x:v>0.939</x:v>
      </x:c>
      <x:c r="G94" s="28" t="n">
        <x:v>0.098</x:v>
      </x:c>
      <x:c r="H94" s="28" t="n">
        <x:v>1</x:v>
      </x:c>
      <x:c r="I94" s="28" t="n">
        <x:v>48.11</x:v>
      </x:c>
      <x:c r="J94" s="3" t="n">
        <x:v>0</x:v>
      </x:c>
      <x:c r="K94" s="3" t="n">
        <x:v>0</x:v>
      </x:c>
      <x:c r="L94" s="3" t="str">
        <x:v>Alternate conformers may share joint EDS statistics. This is not an independent observation or an automatic quality pass.</x:v>
      </x:c>
      <x:c r="M94" s="3" t="str">
        <x:v>https://files.rcsb.org/validation/view/7utc_validation.xml</x:v>
      </x:c>
    </x:row>
    <x:row r="95" ht="42" customHeight="1">
      <x:c r="A95" s="3" t="str">
        <x:v>7UTC</x:v>
      </x:c>
      <x:c r="B95" s="3" t="str">
        <x:v>C</x:v>
      </x:c>
      <x:c r="C95" s="3" t="str">
        <x:v>406</x:v>
      </x:c>
      <x:c r="D95" s="3" t="str">
        <x:v>DMS</x:v>
      </x:c>
      <x:c r="E95" s="3" t="str"/>
      <x:c r="F95" s="28" t="n">
        <x:v>0.958</x:v>
      </x:c>
      <x:c r="G95" s="28" t="n">
        <x:v>0.086</x:v>
      </x:c>
      <x:c r="H95" s="28" t="n">
        <x:v>1</x:v>
      </x:c>
      <x:c r="I95" s="28" t="n">
        <x:v>52.61</x:v>
      </x:c>
      <x:c r="J95" s="3" t="n">
        <x:v>0</x:v>
      </x:c>
      <x:c r="K95" s="3" t="n">
        <x:v>0</x:v>
      </x:c>
      <x:c r="L95" s="3" t="str">
        <x:v>Alternate conformers may share joint EDS statistics. This is not an independent observation or an automatic quality pass.</x:v>
      </x:c>
      <x:c r="M95" s="3" t="str">
        <x:v>https://files.rcsb.org/validation/view/7utc_validation.xml</x:v>
      </x:c>
    </x:row>
    <x:row r="96" ht="42" customHeight="1">
      <x:c r="A96" s="3" t="str">
        <x:v>7UTC</x:v>
      </x:c>
      <x:c r="B96" s="3" t="str">
        <x:v>C</x:v>
      </x:c>
      <x:c r="C96" s="3" t="str">
        <x:v>407</x:v>
      </x:c>
      <x:c r="D96" s="3" t="str">
        <x:v>DMS</x:v>
      </x:c>
      <x:c r="E96" s="3" t="str"/>
      <x:c r="F96" s="28" t="n">
        <x:v>0.823</x:v>
      </x:c>
      <x:c r="G96" s="28" t="n">
        <x:v>0.159</x:v>
      </x:c>
      <x:c r="H96" s="28" t="n">
        <x:v>0.8</x:v>
      </x:c>
      <x:c r="I96" s="28" t="n">
        <x:v>41.04</x:v>
      </x:c>
      <x:c r="J96" s="3" t="n">
        <x:v>0</x:v>
      </x:c>
      <x:c r="K96" s="3" t="n">
        <x:v>0</x:v>
      </x:c>
      <x:c r="L96" s="3" t="str">
        <x:v>Alternate conformers may share joint EDS statistics. This is not an independent observation or an automatic quality pass.</x:v>
      </x:c>
      <x:c r="M96" s="3" t="str">
        <x:v>https://files.rcsb.org/validation/view/7utc_validation.xml</x:v>
      </x:c>
    </x:row>
    <x:row r="97" ht="42" customHeight="1">
      <x:c r="A97" s="3" t="str">
        <x:v>7UTC</x:v>
      </x:c>
      <x:c r="B97" s="3" t="str">
        <x:v>C</x:v>
      </x:c>
      <x:c r="C97" s="3" t="str">
        <x:v>408</x:v>
      </x:c>
      <x:c r="D97" s="3" t="str">
        <x:v>DMS</x:v>
      </x:c>
      <x:c r="E97" s="3" t="str"/>
      <x:c r="F97" s="28" t="n">
        <x:v>0.759</x:v>
      </x:c>
      <x:c r="G97" s="28" t="n">
        <x:v>0.179</x:v>
      </x:c>
      <x:c r="H97" s="28" t="n">
        <x:v>0.86</x:v>
      </x:c>
      <x:c r="I97" s="28" t="n">
        <x:v>47.11</x:v>
      </x:c>
      <x:c r="J97" s="3" t="n">
        <x:v>0</x:v>
      </x:c>
      <x:c r="K97" s="3" t="n">
        <x:v>0</x:v>
      </x:c>
      <x:c r="L97" s="3" t="str">
        <x:v>Alternate conformers may share joint EDS statistics. This is not an independent observation or an automatic quality pass.</x:v>
      </x:c>
      <x:c r="M97" s="3" t="str">
        <x:v>https://files.rcsb.org/validation/view/7utc_validation.xml</x:v>
      </x:c>
    </x:row>
    <x:row r="98" ht="42" customHeight="1">
      <x:c r="A98" s="3" t="str">
        <x:v>7UTC</x:v>
      </x:c>
      <x:c r="B98" s="3" t="str">
        <x:v>C</x:v>
      </x:c>
      <x:c r="C98" s="3" t="str">
        <x:v>409</x:v>
      </x:c>
      <x:c r="D98" s="3" t="str">
        <x:v>DMS</x:v>
      </x:c>
      <x:c r="E98" s="3" t="str"/>
      <x:c r="F98" s="28" t="n">
        <x:v>0.815</x:v>
      </x:c>
      <x:c r="G98" s="28" t="n">
        <x:v>0.143</x:v>
      </x:c>
      <x:c r="H98" s="28" t="n">
        <x:v>1</x:v>
      </x:c>
      <x:c r="I98" s="28" t="n">
        <x:v>61</x:v>
      </x:c>
      <x:c r="J98" s="3" t="n">
        <x:v>1</x:v>
      </x:c>
      <x:c r="K98" s="3" t="n">
        <x:v>0</x:v>
      </x:c>
      <x:c r="L98" s="3" t="str">
        <x:v>Alternate conformers may share joint EDS statistics. This is not an independent observation or an automatic quality pass.</x:v>
      </x:c>
      <x:c r="M98" s="3" t="str">
        <x:v>https://files.rcsb.org/validation/view/7utc_validation.xml</x:v>
      </x:c>
    </x:row>
    <x:row r="99" ht="42" customHeight="1">
      <x:c r="A99" s="3" t="str">
        <x:v>7UTC</x:v>
      </x:c>
      <x:c r="B99" s="3" t="str">
        <x:v>C</x:v>
      </x:c>
      <x:c r="C99" s="3" t="str">
        <x:v>410</x:v>
      </x:c>
      <x:c r="D99" s="3" t="str">
        <x:v>DMS</x:v>
      </x:c>
      <x:c r="E99" s="3" t="str"/>
      <x:c r="F99" s="28" t="n">
        <x:v>0.894</x:v>
      </x:c>
      <x:c r="G99" s="28" t="n">
        <x:v>0.147</x:v>
      </x:c>
      <x:c r="H99" s="28" t="n">
        <x:v>1</x:v>
      </x:c>
      <x:c r="I99" s="28" t="n">
        <x:v>66.45</x:v>
      </x:c>
      <x:c r="J99" s="3" t="n">
        <x:v>0</x:v>
      </x:c>
      <x:c r="K99" s="3" t="n">
        <x:v>0</x:v>
      </x:c>
      <x:c r="L99" s="3" t="str">
        <x:v>Alternate conformers may share joint EDS statistics. This is not an independent observation or an automatic quality pass.</x:v>
      </x:c>
      <x:c r="M99" s="3" t="str">
        <x:v>https://files.rcsb.org/validation/view/7utc_validation.xml</x:v>
      </x:c>
    </x:row>
    <x:row r="100" ht="42" customHeight="1">
      <x:c r="A100" s="3" t="str">
        <x:v>7UTC</x:v>
      </x:c>
      <x:c r="B100" s="3" t="str">
        <x:v>C</x:v>
      </x:c>
      <x:c r="C100" s="3" t="str">
        <x:v>411</x:v>
      </x:c>
      <x:c r="D100" s="3" t="str">
        <x:v>DMS</x:v>
      </x:c>
      <x:c r="E100" s="3" t="str"/>
      <x:c r="F100" s="28" t="n">
        <x:v>0.854</x:v>
      </x:c>
      <x:c r="G100" s="28" t="n">
        <x:v>0.15</x:v>
      </x:c>
      <x:c r="H100" s="28" t="n">
        <x:v>1</x:v>
      </x:c>
      <x:c r="I100" s="28" t="n">
        <x:v>67.01</x:v>
      </x:c>
      <x:c r="J100" s="3" t="n">
        <x:v>0</x:v>
      </x:c>
      <x:c r="K100" s="3" t="n">
        <x:v>0</x:v>
      </x:c>
      <x:c r="L100" s="3" t="str">
        <x:v>Alternate conformers may share joint EDS statistics. This is not an independent observation or an automatic quality pass.</x:v>
      </x:c>
      <x:c r="M100" s="3" t="str">
        <x:v>https://files.rcsb.org/validation/view/7utc_validation.xml</x:v>
      </x:c>
    </x:row>
    <x:row r="101" ht="42" customHeight="1">
      <x:c r="A101" s="3" t="str">
        <x:v>7UTC</x:v>
      </x:c>
      <x:c r="B101" s="3" t="str">
        <x:v>D</x:v>
      </x:c>
      <x:c r="C101" s="3" t="str">
        <x:v>801</x:v>
      </x:c>
      <x:c r="D101" s="3" t="str">
        <x:v>DMS</x:v>
      </x:c>
      <x:c r="E101" s="3" t="str"/>
      <x:c r="F101" s="28" t="n">
        <x:v>0.85</x:v>
      </x:c>
      <x:c r="G101" s="28" t="n">
        <x:v>0.148</x:v>
      </x:c>
      <x:c r="H101" s="28" t="n">
        <x:v>1</x:v>
      </x:c>
      <x:c r="I101" s="28" t="n">
        <x:v>63.8</x:v>
      </x:c>
      <x:c r="J101" s="3" t="n">
        <x:v>0</x:v>
      </x:c>
      <x:c r="K101" s="3" t="n">
        <x:v>0</x:v>
      </x:c>
      <x:c r="L101" s="3" t="str">
        <x:v>Alternate conformers may share joint EDS statistics. This is not an independent observation or an automatic quality pass.</x:v>
      </x:c>
      <x:c r="M101" s="3" t="str">
        <x:v>https://files.rcsb.org/validation/view/7utc_validation.xml</x:v>
      </x:c>
    </x:row>
    <x:row r="102" ht="42" customHeight="1">
      <x:c r="A102" s="3" t="str">
        <x:v>7UTC</x:v>
      </x:c>
      <x:c r="B102" s="3" t="str">
        <x:v>D</x:v>
      </x:c>
      <x:c r="C102" s="3" t="str">
        <x:v>803</x:v>
      </x:c>
      <x:c r="D102" s="3" t="str">
        <x:v>NAP</x:v>
      </x:c>
      <x:c r="E102" s="3" t="str"/>
      <x:c r="F102" s="28" t="n">
        <x:v>0.883</x:v>
      </x:c>
      <x:c r="G102" s="28" t="n">
        <x:v>0.12</x:v>
      </x:c>
      <x:c r="H102" s="28" t="n">
        <x:v>0.77</x:v>
      </x:c>
      <x:c r="I102" s="28" t="n">
        <x:v>34.52</x:v>
      </x:c>
      <x:c r="J102" s="3" t="n">
        <x:v>2</x:v>
      </x:c>
      <x:c r="K102" s="3" t="n">
        <x:v>53</x:v>
      </x:c>
      <x:c r="L102" s="3" t="str">
        <x:v>Alternate conformers may share joint EDS statistics. This is not an independent observation or an automatic quality pass.</x:v>
      </x:c>
      <x:c r="M102" s="3" t="str">
        <x:v>https://files.rcsb.org/validation/view/7utc_validation.xml</x:v>
      </x:c>
    </x:row>
    <x:row r="103" ht="42" customHeight="1">
      <x:c r="A103" s="3" t="str">
        <x:v>7UTC</x:v>
      </x:c>
      <x:c r="B103" s="3" t="str">
        <x:v>D</x:v>
      </x:c>
      <x:c r="C103" s="3" t="str">
        <x:v>804</x:v>
      </x:c>
      <x:c r="D103" s="3" t="str">
        <x:v>DMS</x:v>
      </x:c>
      <x:c r="E103" s="3" t="str"/>
      <x:c r="F103" s="28" t="n">
        <x:v>0.977</x:v>
      </x:c>
      <x:c r="G103" s="28" t="n">
        <x:v>0.068</x:v>
      </x:c>
      <x:c r="H103" s="28" t="n">
        <x:v>1</x:v>
      </x:c>
      <x:c r="I103" s="28" t="n">
        <x:v>41.21</x:v>
      </x:c>
      <x:c r="J103" s="3" t="n">
        <x:v>0</x:v>
      </x:c>
      <x:c r="K103" s="3" t="n">
        <x:v>0</x:v>
      </x:c>
      <x:c r="L103" s="3" t="str">
        <x:v>Alternate conformers may share joint EDS statistics. This is not an independent observation or an automatic quality pass.</x:v>
      </x:c>
      <x:c r="M103" s="3" t="str">
        <x:v>https://files.rcsb.org/validation/view/7utc_validation.xml</x:v>
      </x:c>
    </x:row>
    <x:row r="104" ht="42" customHeight="1">
      <x:c r="A104" s="3" t="str">
        <x:v>7UTC</x:v>
      </x:c>
      <x:c r="B104" s="3" t="str">
        <x:v>D</x:v>
      </x:c>
      <x:c r="C104" s="3" t="str">
        <x:v>805</x:v>
      </x:c>
      <x:c r="D104" s="3" t="str">
        <x:v>DMS</x:v>
      </x:c>
      <x:c r="E104" s="3" t="str"/>
      <x:c r="F104" s="28" t="n">
        <x:v>0.956</x:v>
      </x:c>
      <x:c r="G104" s="28" t="n">
        <x:v>0.111</x:v>
      </x:c>
      <x:c r="H104" s="28" t="n">
        <x:v>1</x:v>
      </x:c>
      <x:c r="I104" s="28" t="n">
        <x:v>46.06</x:v>
      </x:c>
      <x:c r="J104" s="3" t="n">
        <x:v>1</x:v>
      </x:c>
      <x:c r="K104" s="3" t="n">
        <x:v>0</x:v>
      </x:c>
      <x:c r="L104" s="3" t="str">
        <x:v>Alternate conformers may share joint EDS statistics. This is not an independent observation or an automatic quality pass.</x:v>
      </x:c>
      <x:c r="M104" s="3" t="str">
        <x:v>https://files.rcsb.org/validation/view/7utc_validation.xml</x:v>
      </x:c>
    </x:row>
    <x:row r="105" ht="42" customHeight="1">
      <x:c r="A105" s="3" t="str">
        <x:v>7UTC</x:v>
      </x:c>
      <x:c r="B105" s="3" t="str">
        <x:v>D</x:v>
      </x:c>
      <x:c r="C105" s="3" t="str">
        <x:v>806</x:v>
      </x:c>
      <x:c r="D105" s="3" t="str">
        <x:v>DMS</x:v>
      </x:c>
      <x:c r="E105" s="3" t="str"/>
      <x:c r="F105" s="28" t="n">
        <x:v>0.962</x:v>
      </x:c>
      <x:c r="G105" s="28" t="n">
        <x:v>0.078</x:v>
      </x:c>
      <x:c r="H105" s="28" t="n">
        <x:v>0.9</x:v>
      </x:c>
      <x:c r="I105" s="28" t="n">
        <x:v>32.31</x:v>
      </x:c>
      <x:c r="J105" s="3" t="n">
        <x:v>1</x:v>
      </x:c>
      <x:c r="K105" s="3" t="n">
        <x:v>0</x:v>
      </x:c>
      <x:c r="L105" s="3" t="str">
        <x:v>Alternate conformers may share joint EDS statistics. This is not an independent observation or an automatic quality pass.</x:v>
      </x:c>
      <x:c r="M105" s="3" t="str">
        <x:v>https://files.rcsb.org/validation/view/7utc_validation.xml</x:v>
      </x:c>
    </x:row>
    <x:row r="106" ht="42" customHeight="1">
      <x:c r="A106" s="3" t="str">
        <x:v>7UTC</x:v>
      </x:c>
      <x:c r="B106" s="3" t="str">
        <x:v>D</x:v>
      </x:c>
      <x:c r="C106" s="3" t="str">
        <x:v>807</x:v>
      </x:c>
      <x:c r="D106" s="3" t="str">
        <x:v>DMS</x:v>
      </x:c>
      <x:c r="E106" s="3" t="str"/>
      <x:c r="F106" s="28" t="n">
        <x:v>0.869</x:v>
      </x:c>
      <x:c r="G106" s="28" t="n">
        <x:v>0.128</x:v>
      </x:c>
      <x:c r="H106" s="28" t="n">
        <x:v>1</x:v>
      </x:c>
      <x:c r="I106" s="28" t="n">
        <x:v>52.28</x:v>
      </x:c>
      <x:c r="J106" s="3" t="n">
        <x:v>0</x:v>
      </x:c>
      <x:c r="K106" s="3" t="n">
        <x:v>0</x:v>
      </x:c>
      <x:c r="L106" s="3" t="str">
        <x:v>Alternate conformers may share joint EDS statistics. This is not an independent observation or an automatic quality pass.</x:v>
      </x:c>
      <x:c r="M106" s="3" t="str">
        <x:v>https://files.rcsb.org/validation/view/7utc_validation.xml</x:v>
      </x:c>
    </x:row>
    <x:row r="107" ht="42" customHeight="1">
      <x:c r="A107" s="3" t="str">
        <x:v>7UTC</x:v>
      </x:c>
      <x:c r="B107" s="3" t="str">
        <x:v>D</x:v>
      </x:c>
      <x:c r="C107" s="3" t="str">
        <x:v>808</x:v>
      </x:c>
      <x:c r="D107" s="3" t="str">
        <x:v>DMS</x:v>
      </x:c>
      <x:c r="E107" s="3" t="str"/>
      <x:c r="F107" s="28" t="n">
        <x:v>0.895</x:v>
      </x:c>
      <x:c r="G107" s="28" t="n">
        <x:v>0.117</x:v>
      </x:c>
      <x:c r="H107" s="28" t="n">
        <x:v>1</x:v>
      </x:c>
      <x:c r="I107" s="28" t="n">
        <x:v>62.04</x:v>
      </x:c>
      <x:c r="J107" s="3" t="n">
        <x:v>0</x:v>
      </x:c>
      <x:c r="K107" s="3" t="n">
        <x:v>0</x:v>
      </x:c>
      <x:c r="L107" s="3" t="str">
        <x:v>Alternate conformers may share joint EDS statistics. This is not an independent observation or an automatic quality pass.</x:v>
      </x:c>
      <x:c r="M107" s="3" t="str">
        <x:v>https://files.rcsb.org/validation/view/7utc_validation.xml</x:v>
      </x:c>
    </x:row>
    <x:row r="108" ht="42" customHeight="1">
      <x:c r="A108" s="3" t="str">
        <x:v>7UTC</x:v>
      </x:c>
      <x:c r="B108" s="3" t="str">
        <x:v>D</x:v>
      </x:c>
      <x:c r="C108" s="3" t="str">
        <x:v>809</x:v>
      </x:c>
      <x:c r="D108" s="3" t="str">
        <x:v>DMS</x:v>
      </x:c>
      <x:c r="E108" s="3" t="str"/>
      <x:c r="F108" s="28" t="n">
        <x:v>0.701</x:v>
      </x:c>
      <x:c r="G108" s="28" t="n">
        <x:v>0.233</x:v>
      </x:c>
      <x:c r="H108" s="28" t="n">
        <x:v>1</x:v>
      </x:c>
      <x:c r="I108" s="28" t="n">
        <x:v>78.13</x:v>
      </x:c>
      <x:c r="J108" s="3" t="n">
        <x:v>0</x:v>
      </x:c>
      <x:c r="K108" s="3" t="n">
        <x:v>0</x:v>
      </x:c>
      <x:c r="L108" s="3" t="str">
        <x:v>Alternate conformers may share joint EDS statistics. This is not an independent observation or an automatic quality pass.</x:v>
      </x:c>
      <x:c r="M108" s="3" t="str">
        <x:v>https://files.rcsb.org/validation/view/7utc_validation.xml</x:v>
      </x:c>
    </x:row>
    <x:row r="109" ht="42" customHeight="1">
      <x:c r="A109" s="3" t="str">
        <x:v>7UTC</x:v>
      </x:c>
      <x:c r="B109" s="3" t="str">
        <x:v>D</x:v>
      </x:c>
      <x:c r="C109" s="3" t="str">
        <x:v>810</x:v>
      </x:c>
      <x:c r="D109" s="3" t="str">
        <x:v>DMS</x:v>
      </x:c>
      <x:c r="E109" s="3" t="str"/>
      <x:c r="F109" s="28" t="n">
        <x:v>0.749</x:v>
      </x:c>
      <x:c r="G109" s="28" t="n">
        <x:v>0.184</x:v>
      </x:c>
      <x:c r="H109" s="28" t="n">
        <x:v>1</x:v>
      </x:c>
      <x:c r="I109" s="28" t="n">
        <x:v>77.61</x:v>
      </x:c>
      <x:c r="J109" s="3" t="n">
        <x:v>0</x:v>
      </x:c>
      <x:c r="K109" s="3" t="n">
        <x:v>0</x:v>
      </x:c>
      <x:c r="L109" s="3" t="str">
        <x:v>Alternate conformers may share joint EDS statistics. This is not an independent observation or an automatic quality pass.</x:v>
      </x:c>
      <x:c r="M109" s="3" t="str">
        <x:v>https://files.rcsb.org/validation/view/7utc_validation.xml</x:v>
      </x:c>
    </x:row>
    <x:row r="110" ht="42" customHeight="1">
      <x:c r="A110" s="3" t="str">
        <x:v>7UTC</x:v>
      </x:c>
      <x:c r="B110" s="3" t="str">
        <x:v>D</x:v>
      </x:c>
      <x:c r="C110" s="3" t="str">
        <x:v>811</x:v>
      </x:c>
      <x:c r="D110" s="3" t="str">
        <x:v>DMS</x:v>
      </x:c>
      <x:c r="E110" s="3" t="str"/>
      <x:c r="F110" s="28" t="n">
        <x:v>0.941</x:v>
      </x:c>
      <x:c r="G110" s="28" t="n">
        <x:v>0.102</x:v>
      </x:c>
      <x:c r="H110" s="28" t="n">
        <x:v>1</x:v>
      </x:c>
      <x:c r="I110" s="28" t="n">
        <x:v>46.1</x:v>
      </x:c>
      <x:c r="J110" s="3" t="n">
        <x:v>0</x:v>
      </x:c>
      <x:c r="K110" s="3" t="n">
        <x:v>0</x:v>
      </x:c>
      <x:c r="L110" s="3" t="str">
        <x:v>Alternate conformers may share joint EDS statistics. This is not an independent observation or an automatic quality pass.</x:v>
      </x:c>
      <x:c r="M110" s="3" t="str">
        <x:v>https://files.rcsb.org/validation/view/7utc_validation.xml</x:v>
      </x:c>
    </x:row>
    <x:row r="111" ht="42" customHeight="1">
      <x:c r="A111" s="3" t="str">
        <x:v>1IPF</x:v>
      </x:c>
      <x:c r="B111" s="3" t="str">
        <x:v>A</x:v>
      </x:c>
      <x:c r="C111" s="3" t="str">
        <x:v>261</x:v>
      </x:c>
      <x:c r="D111" s="3" t="str">
        <x:v>NDP</x:v>
      </x:c>
      <x:c r="E111" s="3" t="str"/>
      <x:c r="F111" s="28" t="n">
        <x:v>0.965</x:v>
      </x:c>
      <x:c r="G111" s="28" t="n">
        <x:v>0.066</x:v>
      </x:c>
      <x:c r="H111" s="28" t="n">
        <x:v>1</x:v>
      </x:c>
      <x:c r="I111" s="28" t="n">
        <x:v>11.37</x:v>
      </x:c>
      <x:c r="J111" s="3" t="n">
        <x:v>1</x:v>
      </x:c>
      <x:c r="K111" s="3" t="n">
        <x:v>35</x:v>
      </x:c>
      <x:c r="L111" s="3" t="str">
        <x:v>Alternate conformers may share joint EDS statistics. This is not an independent observation or an automatic quality pass.</x:v>
      </x:c>
      <x:c r="M111" s="3" t="str">
        <x:v>https://files.rcsb.org/validation/view/1ipf_validation.xml</x:v>
      </x:c>
    </x:row>
    <x:row r="112" ht="42" customHeight="1">
      <x:c r="A112" s="3" t="str">
        <x:v>1IPF</x:v>
      </x:c>
      <x:c r="B112" s="3" t="str">
        <x:v>A</x:v>
      </x:c>
      <x:c r="C112" s="3" t="str">
        <x:v>262</x:v>
      </x:c>
      <x:c r="D112" s="3" t="str">
        <x:v>TNE</x:v>
      </x:c>
      <x:c r="E112" s="3" t="str"/>
      <x:c r="F112" s="28" t="n">
        <x:v>0.922</x:v>
      </x:c>
      <x:c r="G112" s="28" t="n">
        <x:v>0.086</x:v>
      </x:c>
      <x:c r="H112" s="28" t="n">
        <x:v>1</x:v>
      </x:c>
      <x:c r="I112" s="28" t="n">
        <x:v>23.48</x:v>
      </x:c>
      <x:c r="J112" s="3" t="n">
        <x:v>0</x:v>
      </x:c>
      <x:c r="K112" s="3" t="n">
        <x:v>5</x:v>
      </x:c>
      <x:c r="L112" s="3" t="str">
        <x:v>Alternate conformers may share joint EDS statistics. This is not an independent observation or an automatic quality pass.</x:v>
      </x:c>
      <x:c r="M112" s="3" t="str">
        <x:v>https://files.rcsb.org/validation/view/1ipf_validation.xml</x:v>
      </x:c>
    </x:row>
    <x:row r="113" ht="42" customHeight="1">
      <x:c r="A113" s="3" t="str">
        <x:v>1IPF</x:v>
      </x:c>
      <x:c r="B113" s="3" t="str">
        <x:v>B</x:v>
      </x:c>
      <x:c r="C113" s="3" t="str">
        <x:v>1261</x:v>
      </x:c>
      <x:c r="D113" s="3" t="str">
        <x:v>NDP</x:v>
      </x:c>
      <x:c r="E113" s="3" t="str"/>
      <x:c r="F113" s="28" t="n">
        <x:v>0.966</x:v>
      </x:c>
      <x:c r="G113" s="28" t="n">
        <x:v>0.067</x:v>
      </x:c>
      <x:c r="H113" s="28" t="n">
        <x:v>1</x:v>
      </x:c>
      <x:c r="I113" s="28" t="n">
        <x:v>16.17</x:v>
      </x:c>
      <x:c r="J113" s="3" t="n">
        <x:v>1</x:v>
      </x:c>
      <x:c r="K113" s="3" t="n">
        <x:v>32</x:v>
      </x:c>
      <x:c r="L113" s="3" t="str">
        <x:v>Alternate conformers may share joint EDS statistics. This is not an independent observation or an automatic quality pass.</x:v>
      </x:c>
      <x:c r="M113" s="3" t="str">
        <x:v>https://files.rcsb.org/validation/view/1ipf_validation.xml</x:v>
      </x:c>
    </x:row>
    <x:row r="114" ht="42" customHeight="1">
      <x:c r="A114" s="3" t="str">
        <x:v>1IPF</x:v>
      </x:c>
      <x:c r="B114" s="3" t="str">
        <x:v>B</x:v>
      </x:c>
      <x:c r="C114" s="3" t="str">
        <x:v>1262</x:v>
      </x:c>
      <x:c r="D114" s="3" t="str">
        <x:v>TNE</x:v>
      </x:c>
      <x:c r="E114" s="3" t="str"/>
      <x:c r="F114" s="28" t="n">
        <x:v>0.845</x:v>
      </x:c>
      <x:c r="G114" s="28" t="n">
        <x:v>0.116</x:v>
      </x:c>
      <x:c r="H114" s="28" t="n">
        <x:v>1</x:v>
      </x:c>
      <x:c r="I114" s="28" t="n">
        <x:v>37.56</x:v>
      </x:c>
      <x:c r="J114" s="3" t="n">
        <x:v>1</x:v>
      </x:c>
      <x:c r="K114" s="3" t="n">
        <x:v>5</x:v>
      </x:c>
      <x:c r="L114" s="3" t="str">
        <x:v>Alternate conformers may share joint EDS statistics. This is not an independent observation or an automatic quality pass.</x:v>
      </x:c>
      <x:c r="M114" s="3" t="str">
        <x:v>https://files.rcsb.org/validation/view/1ipf_validation.xml</x:v>
      </x:c>
    </x:row>
    <x:row r="115" ht="42" customHeight="1">
      <x:c r="A115" s="3" t="str">
        <x:v>2AE2</x:v>
      </x:c>
      <x:c r="B115" s="3" t="str">
        <x:v>A</x:v>
      </x:c>
      <x:c r="C115" s="3" t="str">
        <x:v>261</x:v>
      </x:c>
      <x:c r="D115" s="3" t="str">
        <x:v>NAP</x:v>
      </x:c>
      <x:c r="E115" s="3" t="str"/>
      <x:c r="F115" s="28" t="n">
        <x:v>0.985</x:v>
      </x:c>
      <x:c r="G115" s="28" t="n">
        <x:v>0.036</x:v>
      </x:c>
      <x:c r="H115" s="28" t="n">
        <x:v>1</x:v>
      </x:c>
      <x:c r="I115" s="28" t="n">
        <x:v>13.14</x:v>
      </x:c>
      <x:c r="J115" s="3" t="n">
        <x:v>2</x:v>
      </x:c>
      <x:c r="K115" s="3" t="n">
        <x:v>26</x:v>
      </x:c>
      <x:c r="L115" s="3" t="str">
        <x:v>Alternate conformers may share joint EDS statistics. This is not an independent observation or an automatic quality pass.</x:v>
      </x:c>
      <x:c r="M115" s="3" t="str">
        <x:v>https://files.rcsb.org/validation/view/2ae2_validation.xml</x:v>
      </x:c>
    </x:row>
    <x:row r="116" ht="42" customHeight="1">
      <x:c r="A116" s="3" t="str">
        <x:v>2AE2</x:v>
      </x:c>
      <x:c r="B116" s="3" t="str">
        <x:v>A</x:v>
      </x:c>
      <x:c r="C116" s="3" t="str">
        <x:v>262</x:v>
      </x:c>
      <x:c r="D116" s="3" t="str">
        <x:v>PTO</x:v>
      </x:c>
      <x:c r="E116" s="3" t="str"/>
      <x:c r="F116" s="28" t="n">
        <x:v>0.92</x:v>
      </x:c>
      <x:c r="G116" s="28" t="n">
        <x:v>0.064</x:v>
      </x:c>
      <x:c r="H116" s="28" t="n">
        <x:v>1</x:v>
      </x:c>
      <x:c r="I116" s="28" t="n">
        <x:v>24.37</x:v>
      </x:c>
      <x:c r="J116" s="3" t="n">
        <x:v>0</x:v>
      </x:c>
      <x:c r="K116" s="3" t="n">
        <x:v>9</x:v>
      </x:c>
      <x:c r="L116" s="3" t="str">
        <x:v>Alternate conformers may share joint EDS statistics. This is not an independent observation or an automatic quality pass.</x:v>
      </x:c>
      <x:c r="M116" s="3" t="str">
        <x:v>https://files.rcsb.org/validation/view/2ae2_validation.xml</x:v>
      </x:c>
    </x:row>
    <x:row r="117" ht="42" customHeight="1">
      <x:c r="A117" s="3" t="str">
        <x:v>2AE2</x:v>
      </x:c>
      <x:c r="B117" s="3" t="str">
        <x:v>B</x:v>
      </x:c>
      <x:c r="C117" s="3" t="str">
        <x:v>261</x:v>
      </x:c>
      <x:c r="D117" s="3" t="str">
        <x:v>NAP</x:v>
      </x:c>
      <x:c r="E117" s="3" t="str"/>
      <x:c r="F117" s="28" t="n">
        <x:v>0.972</x:v>
      </x:c>
      <x:c r="G117" s="28" t="n">
        <x:v>0.053</x:v>
      </x:c>
      <x:c r="H117" s="28" t="n">
        <x:v>1</x:v>
      </x:c>
      <x:c r="I117" s="28" t="n">
        <x:v>19.79</x:v>
      </x:c>
      <x:c r="J117" s="3" t="n">
        <x:v>2</x:v>
      </x:c>
      <x:c r="K117" s="3" t="n">
        <x:v>29</x:v>
      </x:c>
      <x:c r="L117" s="3" t="str">
        <x:v>Alternate conformers may share joint EDS statistics. This is not an independent observation or an automatic quality pass.</x:v>
      </x:c>
      <x:c r="M117" s="3" t="str">
        <x:v>https://files.rcsb.org/validation/view/2ae2_validation.xml</x:v>
      </x:c>
    </x:row>
    <x:row r="118" ht="42" customHeight="1">
      <x:c r="A118" s="3" t="str">
        <x:v>2AE2</x:v>
      </x:c>
      <x:c r="B118" s="3" t="str">
        <x:v>B</x:v>
      </x:c>
      <x:c r="C118" s="3" t="str">
        <x:v>262</x:v>
      </x:c>
      <x:c r="D118" s="3" t="str">
        <x:v>PTO</x:v>
      </x:c>
      <x:c r="E118" s="3" t="str"/>
      <x:c r="F118" s="28" t="n">
        <x:v>0.859</x:v>
      </x:c>
      <x:c r="G118" s="28" t="n">
        <x:v>0.09</x:v>
      </x:c>
      <x:c r="H118" s="28" t="n">
        <x:v>1</x:v>
      </x:c>
      <x:c r="I118" s="28" t="n">
        <x:v>35.75</x:v>
      </x:c>
      <x:c r="J118" s="3" t="n">
        <x:v>0</x:v>
      </x:c>
      <x:c r="K118" s="3" t="n">
        <x:v>10</x:v>
      </x:c>
      <x:c r="L118" s="3" t="str">
        <x:v>Alternate conformers may share joint EDS statistics. This is not an independent observation or an automatic quality pass.</x:v>
      </x:c>
      <x:c r="M118" s="3" t="str">
        <x:v>https://files.rcsb.org/validation/view/2ae2_validation.xml</x:v>
      </x:c>
    </x:row>
    <x:row r="119" ht="42" customHeight="1">
      <x:c r="A119" s="3" t="str">
        <x:v>6XEW</x:v>
      </x:c>
      <x:c r="B119" s="3" t="str">
        <x:v>A</x:v>
      </x:c>
      <x:c r="C119" s="3" t="str">
        <x:v>301</x:v>
      </x:c>
      <x:c r="D119" s="3" t="str">
        <x:v>NAD</x:v>
      </x:c>
      <x:c r="E119" s="3" t="str"/>
      <x:c r="F119" s="28" t="n">
        <x:v>0.971</x:v>
      </x:c>
      <x:c r="G119" s="28" t="n">
        <x:v>0.055</x:v>
      </x:c>
      <x:c r="H119" s="28" t="n">
        <x:v>1</x:v>
      </x:c>
      <x:c r="I119" s="28" t="n">
        <x:v>20.53</x:v>
      </x:c>
      <x:c r="J119" s="3" t="n">
        <x:v>5</x:v>
      </x:c>
      <x:c r="K119" s="3" t="n">
        <x:v>13</x:v>
      </x:c>
      <x:c r="L119" s="3" t="str">
        <x:v>Alternate conformers may share joint EDS statistics. This is not an independent observation or an automatic quality pass.</x:v>
      </x:c>
      <x:c r="M119" s="3" t="str">
        <x:v>https://files.rcsb.org/validation/view/6xew_validation.xml</x:v>
      </x:c>
    </x:row>
    <x:row r="120" ht="42" customHeight="1">
      <x:c r="A120" s="3" t="str">
        <x:v>6XEW</x:v>
      </x:c>
      <x:c r="B120" s="3" t="str">
        <x:v>A</x:v>
      </x:c>
      <x:c r="C120" s="3" t="str">
        <x:v>302</x:v>
      </x:c>
      <x:c r="D120" s="3" t="str">
        <x:v>NAD</x:v>
      </x:c>
      <x:c r="E120" s="3" t="str"/>
      <x:c r="F120" s="28" t="n">
        <x:v>0.804</x:v>
      </x:c>
      <x:c r="G120" s="28" t="n">
        <x:v>0.144</x:v>
      </x:c>
      <x:c r="H120" s="28" t="n">
        <x:v>0.7</x:v>
      </x:c>
      <x:c r="I120" s="28" t="n">
        <x:v>31.89</x:v>
      </x:c>
      <x:c r="J120" s="3" t="n">
        <x:v>1</x:v>
      </x:c>
      <x:c r="K120" s="3" t="n">
        <x:v>4</x:v>
      </x:c>
      <x:c r="L120" s="3" t="str">
        <x:v>Alternate conformers may share joint EDS statistics. This is not an independent observation or an automatic quality pass.</x:v>
      </x:c>
      <x:c r="M120" s="3" t="str">
        <x:v>https://files.rcsb.org/validation/view/6xew_validation.xml</x:v>
      </x:c>
    </x:row>
    <x:row r="121" ht="42" customHeight="1">
      <x:c r="A121" s="3" t="str">
        <x:v>6XEW</x:v>
      </x:c>
      <x:c r="B121" s="3" t="str">
        <x:v>A</x:v>
      </x:c>
      <x:c r="C121" s="3" t="str">
        <x:v>303</x:v>
      </x:c>
      <x:c r="D121" s="3" t="str">
        <x:v>HBR</x:v>
      </x:c>
      <x:c r="E121" s="3" t="str">
        <x:v>A</x:v>
      </x:c>
      <x:c r="F121" s="28" t="n">
        <x:v>0.818</x:v>
      </x:c>
      <x:c r="G121" s="28" t="n">
        <x:v>0.156</x:v>
      </x:c>
      <x:c r="H121" s="28" t="n">
        <x:v>0.5</x:v>
      </x:c>
      <x:c r="I121" s="28" t="n">
        <x:v>15.59</x:v>
      </x:c>
      <x:c r="J121" s="3" t="n">
        <x:v>3</x:v>
      </x:c>
      <x:c r="K121" s="3" t="n">
        <x:v>3</x:v>
      </x:c>
      <x:c r="L121" s="3" t="str">
        <x:v>Alternate conformers may share joint EDS statistics. This is not an independent observation or an automatic quality pass.</x:v>
      </x:c>
      <x:c r="M121" s="3" t="str">
        <x:v>https://files.rcsb.org/validation/view/6xew_validation.xml</x:v>
      </x:c>
    </x:row>
    <x:row r="122" ht="42" customHeight="1">
      <x:c r="A122" s="3" t="str">
        <x:v>6XEW</x:v>
      </x:c>
      <x:c r="B122" s="3" t="str">
        <x:v>A</x:v>
      </x:c>
      <x:c r="C122" s="3" t="str">
        <x:v>304</x:v>
      </x:c>
      <x:c r="D122" s="3" t="str">
        <x:v>HBS</x:v>
      </x:c>
      <x:c r="E122" s="3" t="str">
        <x:v>B</x:v>
      </x:c>
      <x:c r="F122" s="28" t="n">
        <x:v>0.933</x:v>
      </x:c>
      <x:c r="G122" s="28" t="n">
        <x:v>0.087</x:v>
      </x:c>
      <x:c r="H122" s="28" t="n">
        <x:v>0.5</x:v>
      </x:c>
      <x:c r="I122" s="28" t="n">
        <x:v>12.13</x:v>
      </x:c>
      <x:c r="J122" s="3" t="n">
        <x:v>2</x:v>
      </x:c>
      <x:c r="K122" s="3" t="n">
        <x:v>3</x:v>
      </x:c>
      <x:c r="L122" s="3" t="str">
        <x:v>Alternate conformers may share joint EDS statistics. This is not an independent observation or an automatic quality pass.</x:v>
      </x:c>
      <x:c r="M122" s="3" t="str">
        <x:v>https://files.rcsb.org/validation/view/6xew_validation.xml</x:v>
      </x:c>
    </x:row>
  </x:sheetData>
  <x:mergeCells>
    <x:mergeCell ref="A1:D1"/>
    <x:mergeCell ref="A2:G2"/>
  </x:mergeCells>
  <x:conditionalFormatting sqref="F5:F122">
    <x:cfRule type="cellIs" dxfId="0" priority="1" operator="lessThan">
      <x:formula>0.8</x:formula>
    </x:cfRule>
  </x:conditionalFormatting>
  <x:conditionalFormatting sqref="J5:J122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e5c6171bb440a9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70" hidden="0" customWidth="1"/>
    <x:col min="3" max="3" width="37" hidden="0" customWidth="1"/>
    <x:col min="4" max="4" width="55" hidden="0" customWidth="1"/>
    <x:col min="5" max="5" width="100" hidden="0" customWidth="1"/>
    <x:col min="6" max="6" width="95" hidden="0" customWidth="1"/>
    <x:col min="7" max="7" width="75" hidden="0" customWidth="1"/>
  </x:cols>
  <x:sheetData>
    <x:row r="1" ht="38" customHeight="1">
      <x:c r="A1" s="5" t="str">
        <x:v>原始出处与证据层次</x:v>
      </x:c>
      <x:c r="B1" s="5"/>
      <x:c r="C1" s="5"/>
      <x:c r="D1" s="5"/>
      <x:c r="E1" s="5"/>
      <x:c r="F1" s="5"/>
      <x:c r="G1" s="5"/>
    </x:row>
    <x:row r="2" ht="34" customHeight="1">
      <x:c r="A2" s="6" t="str">
        <x:v>每条动力学/结构记录均有对应来源。公开可访问、开放许可和原始实验复合物是不同属性。</x:v>
      </x:c>
      <x:c r="B2" s="6"/>
      <x:c r="C2" s="6"/>
      <x:c r="D2" s="6"/>
      <x:c r="E2" s="6"/>
      <x:c r="F2" s="6"/>
      <x:c r="G2" s="6"/>
    </x:row>
    <x:row r="3">
      <x:c r="A3" s="3"/>
      <x:c r="B3" s="3"/>
      <x:c r="C3" s="3"/>
      <x:c r="D3" s="3"/>
      <x:c r="E3" s="3"/>
      <x:c r="F3" s="3"/>
      <x:c r="G3" s="3"/>
    </x:row>
    <x:row r="4" ht="40" customHeight="1">
      <x:c r="A4" s="8" t="str">
        <x:v>source_id</x:v>
      </x:c>
      <x:c r="B4" s="8" t="str">
        <x:v>title</x:v>
      </x:c>
      <x:c r="C4" s="8" t="str">
        <x:v>doi</x:v>
      </x:c>
      <x:c r="D4" s="8" t="str">
        <x:v>location</x:v>
      </x:c>
      <x:c r="E4" s="8" t="str">
        <x:v>verification</x:v>
      </x:c>
      <x:c r="F4" s="8" t="str">
        <x:v>access_reuse</x:v>
      </x:c>
      <x:c r="G4" s="8" t="str">
        <x:v>url</x:v>
      </x:c>
    </x:row>
    <x:row r="5" ht="100" customHeight="1">
      <x:c r="A5" s="3" t="str">
        <x:v>HBDH2018_SI</x:v>
      </x:c>
      <x:c r="B5" s="3" t="str">
        <x:v>Linear Eyring Plots Conceal a Change in the Rate-Limiting Step in an Enzyme Reaction — Supporting Information</x:v>
      </x:c>
      <x:c r="C5" s="3" t="str">
        <x:v>10.1021/acs.biochem.8b01099.s001</x:v>
      </x:c>
      <x:c r="D5" s="3" t="str">
        <x:v>Tables S1-S4, 283 K; Methods S4-S5</x:v>
      </x:c>
      <x:c r="E5" s="3" t="str">
        <x:v>Original SI downloaded; table values and fitting-error definition checked</x:v>
      </x:c>
      <x:c r="F5" s="3" t="str">
        <x:v>Figshare metadata: CC BY-NC 4.0; this package includes factual extraction and source link, not SI full text</x:v>
      </x:c>
      <x:c r="G5" s="3" t="str">
        <x:v>https://doi.org/10.1021/acs.biochem.8b01099.s001</x:v>
      </x:c>
    </x:row>
    <x:row r="6" ht="100" customHeight="1">
      <x:c r="A6" s="3" t="str">
        <x:v>HBDH2018</x:v>
      </x:c>
      <x:c r="B6" s="3" t="str">
        <x:v>Linear Eyring Plots Conceal a Change in the Rate-Limiting Step in an Enzyme Reaction</x:v>
      </x:c>
      <x:c r="C6" s="3" t="str">
        <x:v>10.1021/acs.biochem.8b01099</x:v>
      </x:c>
      <x:c r="D6" s="3" t="str">
        <x:v>Primary kinetic study</x:v>
      </x:c>
      <x:c r="E6" s="3" t="str">
        <x:v>Primary paper and SI read</x:v>
      </x:c>
      <x:c r="F6" s="3" t="str">
        <x:v>CC BY 4.0 main paper</x:v>
      </x:c>
      <x:c r="G6" s="3" t="str">
        <x:v>https://pmc.ncbi.nlm.nih.gov/articles/PMC6300308/</x:v>
      </x:c>
    </x:row>
    <x:row r="7" ht="100" customHeight="1">
      <x:c r="A7" s="3" t="str">
        <x:v>HBDH2020</x:v>
      </x:c>
      <x:c r="B7" s="3" t="str">
        <x:v>Dissecting the Mechanism of (R)-3-Hydroxybutyrate Dehydrogenase by Kinetic Isotope Effects, Protein Crystallography, and Computational Chemistry</x:v>
      </x:c>
      <x:c r="C7" s="3" t="str">
        <x:v>10.1021/acscatal.0c04736</x:v>
      </x:c>
      <x:c r="D7" s="3" t="str">
        <x:v>Table 4 mutants; 6ZZO/P/Q/S structures</x:v>
      </x:c>
      <x:c r="E7" s="3" t="str">
        <x:v>Primary paper and PDB validation checked</x:v>
      </x:c>
      <x:c r="F7" s="3" t="str">
        <x:v>CC BY main paper</x:v>
      </x:c>
      <x:c r="G7" s="3" t="str">
        <x:v>https://pmc.ncbi.nlm.nih.gov/articles/PMC7773212/</x:v>
      </x:c>
    </x:row>
    <x:row r="8" ht="100" customHeight="1">
      <x:c r="A8" s="3" t="str">
        <x:v>LbADH2005</x:v>
      </x:c>
      <x:c r="B8" s="3" t="str">
        <x:v>Atomic resolution structures of R-specific alcohol dehydrogenase from Lactobacillus brevis provide the structural bases of its substrate and cosubstrate specificity</x:v>
      </x:c>
      <x:c r="C8" s="3" t="str">
        <x:v>10.1016/j.jmb.2005.04.029</x:v>
      </x:c>
      <x:c r="D8" s="3" t="str">
        <x:v>Matched WT/G37D reduction kinetics</x:v>
      </x:c>
      <x:c r="E8" s="3" t="str">
        <x:v>Original numeric table not read; values corroborated by BRENDA and explicit reprint</x:v>
      </x:c>
      <x:c r="F8" s="3" t="str">
        <x:v>Original full text not directly accessible in this audit</x:v>
      </x:c>
      <x:c r="G8" s="3" t="str">
        <x:v>https://doi.org/10.1016/j.jmb.2005.04.029</x:v>
      </x:c>
    </x:row>
    <x:row r="9" ht="100" customHeight="1">
      <x:c r="A9" s="3" t="str">
        <x:v>LbADH_BRENDA</x:v>
      </x:c>
      <x:c r="B9" s="3" t="str">
        <x:v>BRENDA literature 675348</x:v>
      </x:c>
      <x:c r="C9" s="3" t="str"/>
      <x:c r="D9" s="3" t="str">
        <x:v>Acetophenone/NAD(P)H entries</x:v>
      </x:c>
      <x:c r="E9" s="3" t="str">
        <x:v>Official curated extraction; central kcat and Km values checked</x:v>
      </x:c>
      <x:c r="F9" s="3" t="str">
        <x:v>BRENDA 2026.1 CC BY 4.0</x:v>
      </x:c>
      <x:c r="G9" s="3" t="str">
        <x:v>https://brenda-enzymes.info/literature.php?e=1.1.1.2&amp;r=675348</x:v>
      </x:c>
    </x:row>
    <x:row r="10" ht="100" customHeight="1">
      <x:c r="A10" s="3" t="str">
        <x:v>LbADH_table_reprint</x:v>
      </x:c>
      <x:c r="B10" s="3" t="str">
        <x:v>Analysis of factors influencing enzyme activity and stability in the solid state</x:v>
      </x:c>
      <x:c r="C10" s="3" t="str"/>
      <x:c r="D10" s="3" t="str">
        <x:v>Kulishova 2010 Table 4-11, printed p129</x:v>
      </x:c>
      <x:c r="E10" s="3" t="str">
        <x:v>Explicit reprint of Schlieben et al.; +/- terms checked</x:v>
      </x:c>
      <x:c r="F10" s="3" t="str">
        <x:v>Public university thesis; no full text included</x:v>
      </x:c>
      <x:c r="G10" s="3" t="str">
        <x:v>https://docserv.uni-duesseldorf.de/servlets/DerivateServlet/Derivate-16498/Doctoral%20thesis_Liliya%20Kulishova.pdf</x:v>
      </x:c>
    </x:row>
    <x:row r="11" ht="100" customHeight="1">
      <x:c r="A11" s="3" t="str">
        <x:v>TRII2003</x:v>
      </x:c>
      <x:c r="B11" s="3" t="str">
        <x:v>Capturing enzyme structure prior to reaction initiation: tropinone reductase-II-substrate complexes</x:v>
      </x:c>
      <x:c r="C11" s="3" t="str">
        <x:v>10.1021/bi0272712</x:v>
      </x:c>
      <x:c r="D11" s="3" t="str">
        <x:v>1IPF pre-reaction complex</x:v>
      </x:c>
      <x:c r="E11" s="3" t="str">
        <x:v>Experimental method via primary abstract/PDB; numeric labels via official BRENDA</x:v>
      </x:c>
      <x:c r="F11" s="3" t="str">
        <x:v>PDB public; full numeric table not directly read</x:v>
      </x:c>
      <x:c r="G11" s="3" t="str">
        <x:v>https://doi.org/10.1021/bi0272712</x:v>
      </x:c>
    </x:row>
    <x:row r="12" ht="100" customHeight="1">
      <x:c r="A12" s="3" t="str">
        <x:v>TRII_BRENDA</x:v>
      </x:c>
      <x:c r="B12" s="3" t="str">
        <x:v>BRENDA literature 654707</x:v>
      </x:c>
      <x:c r="C12" s="3" t="str"/>
      <x:c r="D12" s="3" t="str">
        <x:v>tropinone Km/kcat; NADPH Km; pH7.5 and15 C</x:v>
      </x:c>
      <x:c r="E12" s="3" t="str">
        <x:v>Official curated extraction from the 2003 structural paper</x:v>
      </x:c>
      <x:c r="F12" s="3" t="str">
        <x:v>BRENDA 2026.1 CC BY 4.0</x:v>
      </x:c>
      <x:c r="G12" s="3" t="str">
        <x:v>https://www.brenda-enzymes.org/literature.php?e=1.1.1.236&amp;r=654707</x:v>
      </x:c>
    </x:row>
    <x:row r="13" ht="100" customHeight="1">
      <x:c r="A13" s="3" t="str">
        <x:v>TRII1999</x:v>
      </x:c>
      <x:c r="B13" s="3" t="str">
        <x:v>Structure of tropinone reductase-II complexed with NADP+ and pseudotropine at 1.9 A resolution: implication for stereospecific substrate binding and catalysis</x:v>
      </x:c>
      <x:c r="C13" s="3" t="str">
        <x:v>10.1021/bi9825044</x:v>
      </x:c>
      <x:c r="D13" s="3" t="str">
        <x:v>2AE2 product complex</x:v>
      </x:c>
      <x:c r="E13" s="3" t="str">
        <x:v>Sequence core matches 1IPF; kinetic inheritance is cross-paper</x:v>
      </x:c>
      <x:c r="F13" s="3" t="str">
        <x:v>PDB public</x:v>
      </x:c>
      <x:c r="G13" s="3" t="str">
        <x:v>https://doi.org/10.1021/bi9825044</x:v>
      </x:c>
    </x:row>
    <x:row r="14" ht="100" customHeight="1">
      <x:c r="A14" s="3" t="str">
        <x:v>Sm2020</x:v>
      </x:c>
      <x:c r="B14" s="3" t="str">
        <x:v>Phylogenetics-based identification and characterization of a superior 2,3-butanediol dehydrogenase for Zymomonas mobilis expression</x:v>
      </x:c>
      <x:c r="C14" s="3" t="str">
        <x:v>10.1186/s13068-020-01820-x</x:v>
      </x:c>
      <x:c r="D14" s="3" t="str">
        <x:v>Fig8; Bdh activity analysis; 6XEW</x:v>
      </x:c>
      <x:c r="E14" s="3" t="str">
        <x:v>Purified-enzyme bar approximate reading only; fixed-condition specific activity</x:v>
      </x:c>
      <x:c r="F14" s="3" t="str">
        <x:v>Open access primary paper</x:v>
      </x:c>
      <x:c r="G14" s="3" t="str">
        <x:v>https://link.springer.com/article/10.1186/s13068-020-01820-x</x:v>
      </x:c>
    </x:row>
    <x:row r="15" ht="100" customHeight="1">
      <x:c r="A15" s="3" t="str">
        <x:v>PNAS2015</x:v>
      </x:c>
      <x:c r="B15" s="3" t="str">
        <x:v>Origins of stereoselectivity in evolved ketoreductases</x:v>
      </x:c>
      <x:c r="C15" s="3" t="str">
        <x:v>10.1073/pnas.1507910112</x:v>
      </x:c>
      <x:c r="D15" s="3" t="str">
        <x:v>Table1, Kinetics Experiments, Data deposition</x:v>
      </x:c>
      <x:c r="E15" s="3" t="str">
        <x:v>Eight numerical efficiencies + two ND, ten er entries with variant footnote preserved</x:v>
      </x:c>
      <x:c r="F15" s="3" t="str">
        <x:v>Publicly readable on PMC; explicit article reuse license not independently established in this subtask. Do not infer CC BY from PMC hosting.</x:v>
      </x:c>
      <x:c r="G15" s="3" t="str">
        <x:v>https://pmc.ncbi.nlm.nih.gov/articles/PMC4697376/</x:v>
      </x:c>
    </x:row>
    <x:row r="16" ht="100" customHeight="1">
      <x:c r="A16" s="3" t="str">
        <x:v>Ssal2024</x:v>
      </x:c>
      <x:c r="B16" s="3" t="str">
        <x:v>Effective engineering of a ketoreductase for the biocatalytic synthesis of an ipatasertib precursor</x:v>
      </x:c>
      <x:c r="C16" s="3" t="str">
        <x:v>10.1038/s42004-024-01130-5</x:v>
      </x:c>
      <x:c r="D16" s="3" t="str">
        <x:v>Table2; SI1.11/Fig19/p55; Supplementary Data6</x:v>
      </x:c>
      <x:c r="E16" s="3" t="str">
        <x:v>Table, assay, sequences, raw curve metadata checked; M4 saturation and M6 uncertainty flags retained</x:v>
      </x:c>
      <x:c r="F16" s="3" t="str">
        <x:v>Article CC BY4.0; GitHub repository has no LICENSE found in audited tree</x:v>
      </x:c>
      <x:c r="G16" s="3" t="str">
        <x:v>https://www.nature.com/articles/s42004-024-01130-5</x:v>
      </x:c>
    </x:row>
    <x:row r="17" ht="100" customHeight="1">
      <x:c r="A17" s="3" t="str">
        <x:v>Ssal2005</x:v>
      </x:c>
      <x:c r="B17" s="3" t="str">
        <x:v>Structure of Sporobolomyces salmonicolor aldehyde reductase with NADPH</x:v>
      </x:c>
      <x:c r="C17" s="3" t="str">
        <x:v>10.1016/j.jmb.2005.07.011</x:v>
      </x:c>
      <x:c r="D17" s="3" t="str">
        <x:v>1Y1P; covalently connected cofactor fragments in _struct_conn</x:v>
      </x:c>
      <x:c r="E17" s="3" t="str">
        <x:v>Current PDB coordinate graph checked; ketone 1a is absent</x:v>
      </x:c>
      <x:c r="F17" s="3" t="str">
        <x:v>PDB CC0</x:v>
      </x:c>
      <x:c r="G17" s="3" t="str">
        <x:v>https://doi.org/10.1016/j.jmb.2005.07.011</x:v>
      </x:c>
    </x:row>
    <x:row r="18" ht="100" customHeight="1">
      <x:c r="A18" s="3" t="str">
        <x:v>Ortholog2026</x:v>
      </x:c>
      <x:c r="B18" s="3" t="str">
        <x:v>Iterative and data-driven ortholog mining enables reliable discovery of stereoselective ketoreductases</x:v>
      </x:c>
      <x:c r="C18" s="3" t="str">
        <x:v>10.1038/s41467-026-77715-6</x:v>
      </x:c>
      <x:c r="D18" s="3" t="str">
        <x:v>Fig2; Source Data; public repository</x:v>
      </x:c>
      <x:c r="E18" s="3" t="str">
        <x:v>109 unique sequences; 69 soluble labels; 1a and5a chemical-identity discrepancies quarantined</x:v>
      </x:c>
      <x:c r="F18" s="3" t="str">
        <x:v>Early accepted article version as retrieved on 2026-10-07</x:v>
      </x:c>
      <x:c r="G18" s="3" t="str">
        <x:v>https://www.nature.com/articles/s41467-026-77715-6</x:v>
      </x:c>
    </x:row>
    <x:row r="19" ht="100" customHeight="1">
      <x:c r="A19" s="3" t="str">
        <x:v>Ortholog2026_Zenodo</x:v>
      </x:c>
      <x:c r="B19" s="3" t="str">
        <x:v>Public data for Ssal-KRED ortholog mining</x:v>
      </x:c>
      <x:c r="C19" s="3" t="str">
        <x:v>10.5281/zenodo.19574983</x:v>
      </x:c>
      <x:c r="D19" s="3" t="str">
        <x:v>v1; original substrate_SMILES.csv</x:v>
      </x:c>
      <x:c r="E19" s="3" t="str">
        <x:v>Metadata, source SMILES and paper figure compared</x:v>
      </x:c>
      <x:c r="F19" s="3" t="str">
        <x:v>CC BY4.0</x:v>
      </x:c>
      <x:c r="G19" s="3" t="str">
        <x:v>https://zenodo.org/records/19574983</x:v>
      </x:c>
    </x:row>
    <x:row r="20" ht="100" customHeight="1">
      <x:c r="A20" s="3" t="str">
        <x:v>Ortholog2026_GitHub</x:v>
      </x:c>
      <x:c r="B20" s="3" t="str">
        <x:v>Buller-Lab/Ssal-KRED_orthologs</x:v>
      </x:c>
      <x:c r="C20" s="3" t="str"/>
      <x:c r="D20" s="3" t="str">
        <x:v>Round1/2 CSV, 109-sequence FASTA, LICENSE</x:v>
      </x:c>
      <x:c r="E20" s="3" t="str">
        <x:v>Rows deduplicated for counts only; original CSVs preserved unchanged</x:v>
      </x:c>
      <x:c r="F20" s="3" t="str">
        <x:v>MIT LICENSE preserved alongside downloaded files</x:v>
      </x:c>
      <x:c r="G20" s="3" t="str">
        <x:v>https://github.com/Buller-Lab/Ssal-KRED_orthologs</x:v>
      </x:c>
    </x:row>
    <x:row r="21" ht="100" customHeight="1">
      <x:c r="A21" s="3" t="str">
        <x:v>wwPDB</x:v>
      </x:c>
      <x:c r="B21" s="3" t="str">
        <x:v>PDB archive usage policies</x:v>
      </x:c>
      <x:c r="C21" s="3" t="str"/>
      <x:c r="D21" s="3" t="str">
        <x:v>mmCIF, validation XML, PDB metadata</x:v>
      </x:c>
      <x:c r="E21" s="3" t="str">
        <x:v>Original downloaded bytes and SHA256 manifest retained</x:v>
      </x:c>
      <x:c r="F21" s="3" t="str">
        <x:v>PDB archive data CC0; retain scientific attribution</x:v>
      </x:c>
      <x:c r="G21" s="3" t="str">
        <x:v>https://www.wwpdb.org/about/usage-policies</x:v>
      </x:c>
    </x:row>
    <x:row r="22" ht="100" customHeight="1">
      <x:c r="A22" s="3" t="str">
        <x:v>TeSADH2022</x:v>
      </x:c>
      <x:c r="B22" s="3" t="str">
        <x:v>Crystallographic snapshots of ternary complexes of thermophilic secondary alcohol dehydrogenase</x:v>
      </x:c>
      <x:c r="C22" s="3" t="str">
        <x:v>10.1002/prot.26339</x:v>
      </x:c>
      <x:c r="D22" s="3" t="str">
        <x:v>7UUT/7UTC exclusion audit</x:v>
      </x:c>
      <x:c r="E22" s="3" t="str">
        <x:v>Product/cofactor ambiguity and DMSO exclusion recorded; no matched reductive kcat established</x:v>
      </x:c>
      <x:c r="F22" s="3" t="str">
        <x:v>PDB public; no full paper included</x:v>
      </x:c>
      <x:c r="G22" s="3" t="str">
        <x:v>https://doi.org/10.1002/prot.26339</x:v>
      </x:c>
    </x:row>
  </x:sheetData>
  <x:mergeCells>
    <x:mergeCell ref="A1:D1"/>
    <x:mergeCell ref="A2:G2"/>
  </x:mergeCells>
  <x:pageMargins left="0.7" right="0.7" top="0.75" bottom="0.75" header="0.3" footer="0.3"/>
  <x:tableParts count="1">
    <x:tablePart xmlns:r="http://schemas.openxmlformats.org/officeDocument/2006/relationships" r:id="R34c6968503214ae4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1" hidden="0" customWidth="1"/>
    <x:col min="2" max="2" width="28" hidden="0" customWidth="1"/>
    <x:col min="3" max="3" width="31" hidden="0" customWidth="1"/>
    <x:col min="4" max="4" width="36" hidden="0" customWidth="1"/>
    <x:col min="5" max="5" width="113" hidden="0" customWidth="1"/>
    <x:col min="6" max="6" width="30" hidden="0" customWidth="1"/>
  </x:cols>
  <x:sheetData>
    <x:row r="1" ht="38" customHeight="1">
      <x:c r="A1" s="5" t="str">
        <x:v>辅助实验与规模扩展</x:v>
      </x:c>
      <x:c r="B1" s="5"/>
      <x:c r="C1" s="5"/>
      <x:c r="D1" s="5"/>
      <x:c r="E1" s="5"/>
      <x:c r="F1" s="5"/>
    </x:row>
    <x:row r="2" ht="34" customHeight="1">
      <x:c r="A2" s="6" t="str">
        <x:v>这些记录保留各自的标签类型与限制，未混入28条精确动力学记录。</x:v>
      </x:c>
      <x:c r="B2" s="6"/>
      <x:c r="C2" s="6"/>
      <x:c r="D2" s="6"/>
      <x:c r="E2" s="6"/>
      <x:c r="F2" s="6"/>
    </x:row>
    <x:row r="3">
      <x:c r="A3" s="3"/>
      <x:c r="B3" s="3"/>
      <x:c r="C3" s="3"/>
      <x:c r="D3" s="3"/>
      <x:c r="E3" s="3"/>
      <x:c r="F3" s="3"/>
    </x:row>
    <x:row r="4" ht="40" customHeight="1">
      <x:c r="A4" s="8" t="str">
        <x:v>item</x:v>
      </x:c>
      <x:c r="B4" s="8" t="str">
        <x:v>value</x:v>
      </x:c>
      <x:c r="C4" s="8" t="str">
        <x:v>unit</x:v>
      </x:c>
      <x:c r="D4" s="8" t="str">
        <x:v>label_type</x:v>
      </x:c>
      <x:c r="E4" s="8" t="str">
        <x:v>use</x:v>
      </x:c>
      <x:c r="F4" s="8" t="str">
        <x:v>source</x:v>
      </x:c>
    </x:row>
    <x:row r="5" ht="76" customHeight="1">
      <x:c r="A5" s="3" t="str">
        <x:v>2026 unique sequences</x:v>
      </x:c>
      <x:c r="B5" s="3" t="n">
        <x:v>109</x:v>
      </x:c>
      <x:c r="C5" s="3" t="str">
        <x:v>sequence records</x:v>
      </x:c>
      <x:c r="D5" s="3" t="str">
        <x:v>sequence coverage</x:v>
      </x:c>
      <x:c r="E5" s="3" t="str">
        <x:v>Includes WT; 108 new orthologs. Not 109 experimental complex structures.</x:v>
      </x:c>
      <x:c r="F5" s="3" t="str">
        <x:v>Ortholog2026_GitHub</x:v>
      </x:c>
    </x:row>
    <x:row r="6" ht="76" customHeight="1">
      <x:c r="A6" s="3" t="str">
        <x:v>2026 soluble proteins</x:v>
      </x:c>
      <x:c r="B6" s="3" t="n">
        <x:v>69</x:v>
      </x:c>
      <x:c r="C6" s="3" t="str">
        <x:v>unique records incl. WT</x:v>
      </x:c>
      <x:c r="D6" s="3" t="str">
        <x:v>soluble expression</x:v>
      </x:c>
      <x:c r="E6" s="3" t="str">
        <x:v>40 insoluble entries have missing activity; do not encode catalytic inactivity.</x:v>
      </x:c>
      <x:c r="F6" s="3" t="str">
        <x:v>Ortholog2026_GitHub</x:v>
      </x:c>
    </x:row>
    <x:row r="7" ht="76" customHeight="1">
      <x:c r="A7" s="3" t="str">
        <x:v>2026 substrate1a</x:v>
      </x:c>
      <x:c r="B7" s="3" t="n">
        <x:v>69</x:v>
      </x:c>
      <x:c r="C7" s="3" t="str">
        <x:v>relative slope records</x:v>
      </x:c>
      <x:c r="D7" s="3" t="str">
        <x:v>FIO_Ssal-KRED</x:v>
      </x:c>
      <x:c r="E7" s="3" t="str">
        <x:v>Clarified lysate, relative depletion slope; chemical SMILES 1a quarantined.</x:v>
      </x:c>
      <x:c r="F7" s="3" t="str">
        <x:v>Ortholog2026</x:v>
      </x:c>
    </x:row>
    <x:row r="8" ht="76" customHeight="1">
      <x:c r="A8" s="3" t="str">
        <x:v>2026 substrates2a–5a</x:v>
      </x:c>
      <x:c r="B8" s="3" t="n">
        <x:v>276</x:v>
      </x:c>
      <x:c r="C8" s="3" t="str">
        <x:v>enzyme–substrate pairs</x:v>
      </x:c>
      <x:c r="D8" s="3" t="str">
        <x:v>product concentration in mM</x:v>
      </x:c>
      <x:c r="E8" s="3" t="str">
        <x:v>69×4; R/S columns are products from one assay. 10mM substrate,20h,20°C; lysate assay.</x:v>
      </x:c>
      <x:c r="F8" s="3" t="str">
        <x:v>Ortholog2026_GitHub</x:v>
      </x:c>
    </x:row>
    <x:row r="9" ht="76" customHeight="1">
      <x:c r="A9" s="3" t="str">
        <x:v>2026 substrate1a chemical audit</x:v>
      </x:c>
      <x:c r="B9" s="3" t="str">
        <x:v>quarantine</x:v>
      </x:c>
      <x:c r="C9" s="3" t="str">
        <x:v>chemical ID</x:v>
      </x:c>
      <x:c r="D9" s="3" t="str">
        <x:v>source inconsistency</x:v>
      </x:c>
      <x:c r="E9" s="3" t="str">
        <x:v>CSV encodes alcohol at the reaction site; paper Fig2c depicts ketone. Original retained unchanged.</x:v>
      </x:c>
      <x:c r="F9" s="3" t="str">
        <x:v>Ortholog2026_Zenodo</x:v>
      </x:c>
    </x:row>
    <x:row r="10" ht="76" customHeight="1">
      <x:c r="A10" s="3" t="str">
        <x:v>2026 substrate5a chemical audit</x:v>
      </x:c>
      <x:c r="B10" s="3" t="str">
        <x:v>quarantine</x:v>
      </x:c>
      <x:c r="C10" s="3" t="str">
        <x:v>chemical ID</x:v>
      </x:c>
      <x:c r="D10" s="3" t="str">
        <x:v>source inconsistency</x:v>
      </x:c>
      <x:c r="E10" s="3" t="str">
        <x:v>CSV encodes carboxylate; paper Fig2c depicts ethyl ester. Original retained unchanged.</x:v>
      </x:c>
      <x:c r="F10" s="3" t="str">
        <x:v>Ortholog2026_Zenodo</x:v>
      </x:c>
    </x:row>
    <x:row r="11" ht="76" customHeight="1">
      <x:c r="A11" s="3" t="str">
        <x:v>2026 ee coding</x:v>
      </x:c>
      <x:c r="B11" s="3" t="str">
        <x:v>&gt;99% / undetected</x:v>
      </x:c>
      <x:c r="C11" s="3" t="str">
        <x:v>censored selectivity</x:v>
      </x:c>
      <x:c r="D11" s="3" t="str">
        <x:v>signed ee</x:v>
      </x:c>
      <x:c r="E11" s="3" t="str">
        <x:v>CSV +/-100 must not be presented as proven exact 100% purity; missing ee is not zero.</x:v>
      </x:c>
      <x:c r="F11" s="3" t="str">
        <x:v>Ortholog2026</x:v>
      </x:c>
    </x:row>
    <x:row r="12" ht="76" customHeight="1">
      <x:c r="A12" s="3" t="str">
        <x:v>SmBdh / 6XEW / WT</x:v>
      </x:c>
      <x:c r="B12" s="3" t="n">
        <x:v>3.5</x:v>
      </x:c>
      <x:c r="C12" s="3" t="str">
        <x:v>U/nmol (approximate)</x:v>
      </x:c>
      <x:c r="D12" s="3" t="str">
        <x:v>fixed-condition specific activity</x:v>
      </x:c>
      <x:c r="E12" s="3" t="str">
        <x:v>Approximate Fig8 bar reading, racemic acetoin25mM,NADH0.25mM,pH7; temperature unreported. Not kcat.</x:v>
      </x:c>
      <x:c r="F12" s="3" t="str">
        <x:v>Sm2020</x:v>
      </x:c>
    </x:row>
    <x:row r="13" ht="76" customHeight="1">
      <x:c r="A13" s="3" t="str">
        <x:v>7UTC</x:v>
      </x:c>
      <x:c r="B13" s="3" t="str">
        <x:v>excluded</x:v>
      </x:c>
      <x:c r="C13" s="3" t="str">
        <x:v>PDB candidate</x:v>
      </x:c>
      <x:c r="D13" s="3" t="str">
        <x:v>DMSO inhibitor complex</x:v>
      </x:c>
      <x:c r="E13" s="3" t="str">
        <x:v>Not a real ketone substrate reference; no ketone reduction label assigned.</x:v>
      </x:c>
      <x:c r="F13" s="3" t="str">
        <x:v>TeSADH2022</x:v>
      </x:c>
    </x:row>
    <x:row r="14" ht="76" customHeight="1">
      <x:c r="A14" s="3" t="str">
        <x:v>7UUT</x:v>
      </x:c>
      <x:c r="B14" s="3" t="str">
        <x:v>excluded from matched core</x:v>
      </x:c>
      <x:c r="C14" s="3" t="str">
        <x:v>PDB candidate</x:v>
      </x:c>
      <x:c r="D14" s="3" t="str">
        <x:v>product / redox ambiguity</x:v>
      </x:c>
      <x:c r="E14" s="3" t="str">
        <x:v>2RP=(R)-2-pentanol; no exact matched reduction kinetic label verified.</x:v>
      </x:c>
      <x:c r="F14" s="3" t="str">
        <x:v>TeSADH2022</x:v>
      </x:c>
    </x:row>
    <x:row r="15" ht="76" customHeight="1">
      <x:c r="A15" s="3" t="str">
        <x:v>Source data location</x:v>
      </x:c>
      <x:c r="B15" s="3" t="str">
        <x:v>activity_expansion_2026/</x:v>
      </x:c>
      <x:c r="C15" s="3" t="str">
        <x:v>folder in ZIP</x:v>
      </x:c>
      <x:c r="D15" s="3" t="str">
        <x:v>original files + audit</x:v>
      </x:c>
      <x:c r="E15" s="3" t="str">
        <x:v>Round1/2CSV,109-sequenceFASTA,originalSMILES,source manifests andMIT license.</x:v>
      </x:c>
      <x:c r="F15" s="3" t="str">
        <x:v>See source IDs above</x:v>
      </x:c>
    </x:row>
  </x:sheetData>
  <x:mergeCells>
    <x:mergeCell ref="A1:D1"/>
    <x:mergeCell ref="A2:F2"/>
  </x:mergeCells>
  <x:pageMargins left="0.7" right="0.7" top="0.75" bottom="0.75" header="0.3" footer="0.3"/>
  <x:tableParts count="1">
    <x:tablePart xmlns:r="http://schemas.openxmlformats.org/officeDocument/2006/relationships" r:id="Rb014e093eb014a95"/>
  </x:tableParts>
</x:worksheet>
</file>